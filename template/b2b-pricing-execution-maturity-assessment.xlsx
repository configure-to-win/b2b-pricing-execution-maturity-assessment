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Quick assessment" sheetId="2" r:id="rId6"/>
    <sheet state="visible" name="Maturity profile" sheetId="3" r:id="rId7"/>
    <sheet state="visible" name="Maturity matrix" sheetId="4" r:id="rId8"/>
    <sheet state="visible" name="Improvement priorities" sheetId="5" r:id="rId9"/>
    <sheet state="visible" name="Quote Performance bridge" sheetId="6" r:id="rId10"/>
    <sheet state="visible" name="Methodology" sheetId="7" r:id="rId11"/>
    <sheet state="visible" name="Definitions" sheetId="8" r:id="rId12"/>
    <sheet state="visible" name="Worked example" sheetId="9" r:id="rId13"/>
  </sheets>
  <definedNames/>
  <calcPr/>
</workbook>
</file>

<file path=xl/sharedStrings.xml><?xml version="1.0" encoding="utf-8"?>
<sst xmlns="http://schemas.openxmlformats.org/spreadsheetml/2006/main" count="562" uniqueCount="394">
  <si>
    <t>Configure to WIN | Quick assessment</t>
  </si>
  <si>
    <t>Configure to WIN | B2B Pricing Execution Maturity Assessment</t>
  </si>
  <si>
    <t>Rate twelve statements across six pricing-execution dimensions; add an optional target state and evidence notes.</t>
  </si>
  <si>
    <t>Assess six dimensions of pricing execution maturity in B2B quoting and identify practical improvement priorities.</t>
  </si>
  <si>
    <t>Configure to WIN | Maturity matrix</t>
  </si>
  <si>
    <t>This workbook is a focused module of the Configure to WIN Quote Performance Scan. It produces a dimension-level self-assessment, not an overall maturity score, industry benchmark or product recommendation.</t>
  </si>
  <si>
    <t>Complete all twelve current-state statements before interpreting priority rank. Target-state inputs are optional and no overall score is calculated.</t>
  </si>
  <si>
    <t>Use the matrix to interpret what each maturity level means within each pricing-execution dimension and what evidence can support the assessment.</t>
  </si>
  <si>
    <t>Descriptions are control-state examples, not industry benchmarks or prescribed policies.</t>
  </si>
  <si>
    <t>Dimension-specific maturity matrix</t>
  </si>
  <si>
    <t>Purpose and scope</t>
  </si>
  <si>
    <t>Assessment statements</t>
  </si>
  <si>
    <t>Assessment status</t>
  </si>
  <si>
    <t>What this assessment evaluates</t>
  </si>
  <si>
    <t>Dimension</t>
  </si>
  <si>
    <t>Pricing execution maturity across six dimensions: pricing data, agreement pricing, calculations, price execution, governance, and traceability.</t>
  </si>
  <si>
    <t>Question</t>
  </si>
  <si>
    <t>Reactive</t>
  </si>
  <si>
    <t>Who it is for</t>
  </si>
  <si>
    <t>Emerging</t>
  </si>
  <si>
    <t>Assessment statement</t>
  </si>
  <si>
    <t>Established</t>
  </si>
  <si>
    <t>Current state</t>
  </si>
  <si>
    <t>Advanced</t>
  </si>
  <si>
    <t>B2B teams that create complex quotes and want a structured view of how pricing controls operate today and where practical improvement is needed.</t>
  </si>
  <si>
    <t>Intelligent</t>
  </si>
  <si>
    <t>Current value</t>
  </si>
  <si>
    <t>Target state</t>
  </si>
  <si>
    <t>Examples of useful evidence</t>
  </si>
  <si>
    <t>Target value</t>
  </si>
  <si>
    <t>What the result contains</t>
  </si>
  <si>
    <t>Gap</t>
  </si>
  <si>
    <t>A maturity level per dimension, current and optional target state, dimension gap, two weakest dimensions after completion, a recommended next control, and a current-versus-target profile.</t>
  </si>
  <si>
    <t>Evidence or notes</t>
  </si>
  <si>
    <t>What the result does not contain</t>
  </si>
  <si>
    <t>No overall score, organisational maturity level, industry benchmark, comparison with other users, Quote Performance Score, or product/vendor recommendation.</t>
  </si>
  <si>
    <t>How answers work</t>
  </si>
  <si>
    <t>Select one of five descriptions. The label is converted to a value from 0 to 4 for dimension-level calculation only.</t>
  </si>
  <si>
    <t>Pricing data foundation</t>
  </si>
  <si>
    <t>Metric</t>
  </si>
  <si>
    <t>Calculated result</t>
  </si>
  <si>
    <t>Price inputs are gathered manually from people, files or systems with no consistently owned source hierarchy.</t>
  </si>
  <si>
    <t>Key sources are partly identified, but ownership, versions or effective dates are applied locally.</t>
  </si>
  <si>
    <t>List, cost, floor and currency sources are documented and repeatable, but quote-time enforcement is inconsistent.</t>
  </si>
  <si>
    <t>Approved sources, versions and effective dates are system-supported, governed and traceable in the quote process.</t>
  </si>
  <si>
    <t>Source freshness, conflicts and exceptions are measured, reviewed and continuously improved.</t>
  </si>
  <si>
    <t>Price-source register; effective-date history; source ownership record; currency source record.</t>
  </si>
  <si>
    <t>Current list, cost, floor and currency data is available before quoting begins.</t>
  </si>
  <si>
    <t>Customer-specific and contracted pricing</t>
  </si>
  <si>
    <t>Target state is optional planning input. A dimension gap appears only when both current and target answers for that dimension are complete.</t>
  </si>
  <si>
    <t>Customer-specific or contracted prices are found manually and applicability depends on individual knowledge.</t>
  </si>
  <si>
    <t>Use the workbook in four steps</t>
  </si>
  <si>
    <t>Some agreement pricing is recorded, but coverage, dates or deviation handling vary by team or account.</t>
  </si>
  <si>
    <t>Agreement pricing and deviation rules are documented and repeatable, but not consistently enforced in every quote.</t>
  </si>
  <si>
    <t>Applicable agreements, effective dates and deviations are system-supported, governed and traceable.</t>
  </si>
  <si>
    <t>Agreement use, deviations, misses and renewal risks are measured, reviewed and continuously improved.</t>
  </si>
  <si>
    <t>Contracted-price record; customer-specific price history; applicability record; price-deviation evidence.</t>
  </si>
  <si>
    <t>Calculations and deal economics</t>
  </si>
  <si>
    <t>Discount, margin, rebate and incentive calculations are manual or differ by person or function.</t>
  </si>
  <si>
    <t>Core calculations are partly defined, but teams still use local spreadsheets, assumptions or logic.</t>
  </si>
  <si>
    <t>Commercial calculations are documented and repeatable, but enforcement and exception handling remain inconsistent.</t>
  </si>
  <si>
    <t>Shared calculation logic is system-supported, governed and traceable across sales, pricing and finance.</t>
  </si>
  <si>
    <t>Calculation variance and deal-economics outcomes are measured, reviewed and continuously improved.</t>
  </si>
  <si>
    <t>Complete all twelve current-state statements.</t>
  </si>
  <si>
    <t>Calculation specification; worked calculation test; margin/rebate logic record; reconciliation evidence.</t>
  </si>
  <si>
    <t>Price execution</t>
  </si>
  <si>
    <t>The price used in a quote may be selected or overwritten manually without reliable visibility or control.</t>
  </si>
  <si>
    <t>Price-application and override practices exist, but are only partly defined or locally adopted.</t>
  </si>
  <si>
    <t>Price and override rules are documented and repeatable, but not consistently enforced.</t>
  </si>
  <si>
    <t>Add an optional target state.</t>
  </si>
  <si>
    <t>Applicable price selection and manual overrides are system-supported, governed and traceable.</t>
  </si>
  <si>
    <t>Override patterns, execution exceptions and realised outcomes are measured, reviewed and continuously improved.</t>
  </si>
  <si>
    <t>Applied-price trace; override log; override reason; released-quote evidence.</t>
  </si>
  <si>
    <t>Review the six dimension profiles and gaps.</t>
  </si>
  <si>
    <t>Exception and approval governance</t>
  </si>
  <si>
    <t>Approval depends on judgement, email or person-to-person escalation with limited consistency.</t>
  </si>
  <si>
    <t>Some triggers and authority rules exist, but routing and reapproval are only partly standardised.</t>
  </si>
  <si>
    <t>Approval conditions and authority are documented and repeatable, but enforcement is inconsistent.</t>
  </si>
  <si>
    <t>Assign improvement actions and continue to the full Quote Performance Scan.</t>
  </si>
  <si>
    <t>Approval triggers, authority, routing and reapproval are system-supported, governed and traceable.</t>
  </si>
  <si>
    <t>Approval outcomes, delay patterns and governance exceptions are measured, reviewed and continuously improved.</t>
  </si>
  <si>
    <t>Approval policy; approval matrix; routing record; reapproval evidence; decision trace.</t>
  </si>
  <si>
    <t>Online resources</t>
  </si>
  <si>
    <t>Traceability and performance visibility</t>
  </si>
  <si>
    <t>Pricing decisions cannot be reliably reconstructed and recurring leakage or exceptions are largely anecdotal.</t>
  </si>
  <si>
    <t>Some evidence and reports exist, but traceability and performance visibility depend on local practices.</t>
  </si>
  <si>
    <t>Decision-trace and exception reporting requirements are documented and repeatable, but not consistently complete.</t>
  </si>
  <si>
    <t>Source values, calculations, rules, decisions and exceptions are system-supported, governed and traceable.</t>
  </si>
  <si>
    <t>Official assessment page</t>
  </si>
  <si>
    <t>Leakage, exception and control-gap trends are measured, reviewed and continuously improved.</t>
  </si>
  <si>
    <t>Decision trace; exception report; leakage analysis; control-gap review; management review record.</t>
  </si>
  <si>
    <t>https://configure.win/resources/pricing-maturity-assessment</t>
  </si>
  <si>
    <t>Current-state questions completed</t>
  </si>
  <si>
    <t>Your team can identify the correct source and version of each commercial value.</t>
  </si>
  <si>
    <t>Full Quote Performance Scan</t>
  </si>
  <si>
    <t>https://configure.win/quote-performance-scan</t>
  </si>
  <si>
    <t>Asset name</t>
  </si>
  <si>
    <t>B2B Pricing Execution Maturity Assessment</t>
  </si>
  <si>
    <t>Version</t>
  </si>
  <si>
    <t>1.0.0</t>
  </si>
  <si>
    <t>Last updated</t>
  </si>
  <si>
    <t>Target-state questions completed</t>
  </si>
  <si>
    <t>2026-08-30</t>
  </si>
  <si>
    <t>Five answer options</t>
  </si>
  <si>
    <t>0 — Ad hoc or manual</t>
  </si>
  <si>
    <t>Current account- and product-specific price agreements are available inside the quote context.</t>
  </si>
  <si>
    <t>The control is largely manual, informal or dependent on individual knowledge.</t>
  </si>
  <si>
    <t>1 — Partly defined</t>
  </si>
  <si>
    <t>A control exists in parts of the process, but ownership or adoption is incomplete.</t>
  </si>
  <si>
    <t>2 — Documented but inconsistent</t>
  </si>
  <si>
    <t>The control is documented and repeatable, but not applied consistently.</t>
  </si>
  <si>
    <t>3 — System-supported and governed</t>
  </si>
  <si>
    <t>The control is supported by systems, governance and traceable execution.</t>
  </si>
  <si>
    <t>4 — Measured and continuously improved</t>
  </si>
  <si>
    <t>The control is measured, reviewed and refined through an active feedback loop.</t>
  </si>
  <si>
    <t>Deviations from existing customer prices are calculated explicitly.</t>
  </si>
  <si>
    <t>Current-state completeness warning</t>
  </si>
  <si>
    <t>Discounts, margins, rebates and incentives are calculated consistently.</t>
  </si>
  <si>
    <t>Sales, pricing and finance use the same commercial calculation logic.</t>
  </si>
  <si>
    <t>Answer scale</t>
  </si>
  <si>
    <t>The applicable price is used consistently in each quote.</t>
  </si>
  <si>
    <t>0</t>
  </si>
  <si>
    <t>Ad hoc or manual</t>
  </si>
  <si>
    <t>Manual price overrides remain visible and controlled.</t>
  </si>
  <si>
    <t>Configure to WIN | Maturity profile</t>
  </si>
  <si>
    <t>1</t>
  </si>
  <si>
    <t>Partly defined</t>
  </si>
  <si>
    <t>Review current and optional target maturity for each pricing-execution dimension, together with the planning gap and next control.</t>
  </si>
  <si>
    <t>Defined conditions determine when pricing approval is required.</t>
  </si>
  <si>
    <t>Dimension averages appear only when both statements for that dimension are completed. Priority rank appears only after all twelve current-state responses are complete.</t>
  </si>
  <si>
    <t>2</t>
  </si>
  <si>
    <t>Documented but inconsistent</t>
  </si>
  <si>
    <t>Approval authority and routing are applied consistently.</t>
  </si>
  <si>
    <t>3</t>
  </si>
  <si>
    <t>System-supported and governed</t>
  </si>
  <si>
    <t>Source values, calculations, rules and decisions can be reconstructed.</t>
  </si>
  <si>
    <t>Dimension profile</t>
  </si>
  <si>
    <t>4</t>
  </si>
  <si>
    <t>Measured and continuously improved</t>
  </si>
  <si>
    <t>Two weakest dimensions</t>
  </si>
  <si>
    <t>Management can identify recurring pricing exceptions, leakage and control gaps.</t>
  </si>
  <si>
    <t>Current</t>
  </si>
  <si>
    <t>Target</t>
  </si>
  <si>
    <t>Current average</t>
  </si>
  <si>
    <t>Current level</t>
  </si>
  <si>
    <t>Target average</t>
  </si>
  <si>
    <t>Target level</t>
  </si>
  <si>
    <t>Priority rank</t>
  </si>
  <si>
    <t>Recommended next control</t>
  </si>
  <si>
    <t>Priority</t>
  </si>
  <si>
    <t>Configure to WIN | Improvement priorities</t>
  </si>
  <si>
    <t>Turn the dimension profile into an action register without converting the assessment into an overall score.</t>
  </si>
  <si>
    <t>Priority rank is based on current-state dimension maturity after all twelve current responses are complete; use business context and evidence when assigning actions.</t>
  </si>
  <si>
    <t>Action register</t>
  </si>
  <si>
    <t>Action</t>
  </si>
  <si>
    <t>Owner</t>
  </si>
  <si>
    <t>Target date</t>
  </si>
  <si>
    <t>Status</t>
  </si>
  <si>
    <t>Evidence</t>
  </si>
  <si>
    <t>Notes</t>
  </si>
  <si>
    <t>Configure to WIN | Quote Performance bridge</t>
  </si>
  <si>
    <t>Connect the six pricing-execution dimensions to related Quote Performance themes without creating a score mapping.</t>
  </si>
  <si>
    <t>These are content relationships, not a one-to-one score mapping between this module and the full Quote Performance Scan.</t>
  </si>
  <si>
    <t>How pricing maturity connects to the wider quote process</t>
  </si>
  <si>
    <t>Pricing dimension</t>
  </si>
  <si>
    <t>Related Quote Performance themes</t>
  </si>
  <si>
    <t>Why the connection matters</t>
  </si>
  <si>
    <t>What the full scan adds</t>
  </si>
  <si>
    <t>Product &amp; Price Data, Currency Control, Quote Accuracy</t>
  </si>
  <si>
    <t>Reliable pricing execution starts with controlled commercial source data before quote calculation and release.</t>
  </si>
  <si>
    <t>The full scan tests how source-data control interacts with quote creation, validation, cycle time and downstream visibility.</t>
  </si>
  <si>
    <t>Product &amp; Price Data, Commercial Control, Quote Accuracy</t>
  </si>
  <si>
    <t>Agreement applicability and explicit deviations determine whether customer commitments are applied accurately and governed.</t>
  </si>
  <si>
    <t>The full scan adds cross-process evidence on quote accuracy, approval logic, release efficiency and commercial visibility.</t>
  </si>
  <si>
    <t>Commercial Control, True Deal Economics, Rebate Impact</t>
  </si>
  <si>
    <t>Shared calculation logic is necessary to understand the commercial outcome beyond list price and headline discount.</t>
  </si>
  <si>
    <t>The full scan adds quote-process measures, price-waterfall effects, rebate impact and visibility across the complete quote flow.</t>
  </si>
  <si>
    <t>Quote Accuracy, Commercial Control, Quote Release Efficiency</t>
  </si>
  <si>
    <t>Correct price application and controlled overrides connect pricing policy to what is actually released to the customer.</t>
  </si>
  <si>
    <t>The full scan adds validation, release-efficiency and cycle-time evidence to show how execution controls affect quote performance.</t>
  </si>
  <si>
    <t>Approval Logic, Quote Cycle Time, Delay Cause, Quote Release Efficiency</t>
  </si>
  <si>
    <t>Pricing governance can protect commercial thresholds but can also create delay when triggers, authority or routing are unclear.</t>
  </si>
  <si>
    <t>The full scan adds cycle-time, bottleneck and approval evidence to separate necessary control from avoidable friction.</t>
  </si>
  <si>
    <t>Commercial Visibility, Error Cause, Commercial Control, Rebate Impact</t>
  </si>
  <si>
    <t>A reconstructable decision trace and recurring exception visibility are prerequisites for diagnosing leakage and control gaps.</t>
  </si>
  <si>
    <t>The full scan adds end-to-end process measures so pricing evidence can be interpreted alongside accuracy, delay and commercial outcomes.</t>
  </si>
  <si>
    <t>Your pricing maturity profile shows where pricing execution needs attention. Complete the Quote Performance Scan to benchmark how pricing, quote creation, accuracy, cycle time, approvals and commercial visibility work together across the complete quote process.</t>
  </si>
  <si>
    <t>How to use priorities</t>
  </si>
  <si>
    <t>Configure to WIN | Methodology</t>
  </si>
  <si>
    <t>Treat the automatically calculated rank and recommended next control as structured planning inputs. Record an action only after reviewing evidence, business risk, dependency and feasibility. A larger numeric gap does not automatically mean a higher business priority.</t>
  </si>
  <si>
    <t>Document the calculation logic, maturity boundaries, evidence approach and scope limitations used by this workbook.</t>
  </si>
  <si>
    <t>The methodology is designed for a focused self-assessment of six pricing dimensions; it does not provide an external benchmark or overall score.</t>
  </si>
  <si>
    <t>Assessment methodology</t>
  </si>
  <si>
    <t>Method element</t>
  </si>
  <si>
    <t>Definition</t>
  </si>
  <si>
    <t>Calculation or rule</t>
  </si>
  <si>
    <t>Blank handling</t>
  </si>
  <si>
    <t>Important limitation</t>
  </si>
  <si>
    <t>Dimensions</t>
  </si>
  <si>
    <t>Six separate pricing-execution dimensions.</t>
  </si>
  <si>
    <t>Each dimension is assessed independently.</t>
  </si>
  <si>
    <t>No result appears for a dimension until both current-state statements are completed.</t>
  </si>
  <si>
    <t>No average, sum or total score is calculated across the six dimensions.</t>
  </si>
  <si>
    <t>Statements</t>
  </si>
  <si>
    <t>Two equally weighted statements per dimension.</t>
  </si>
  <si>
    <t>Both statements contribute equally to the dimension average.</t>
  </si>
  <si>
    <t>A dimension average is blank if either statement is blank.</t>
  </si>
  <si>
    <t>Results reflect only entered answers.</t>
  </si>
  <si>
    <t>Answer values</t>
  </si>
  <si>
    <t>Five labels converted to numeric values 0 through 4.</t>
  </si>
  <si>
    <t>0 Ad hoc/manual; 1 Partly defined; 2 Documented but inconsistent; 3 System-supported and governed; 4 Measured and continuously improved.</t>
  </si>
  <si>
    <t>A blank label remains blank; it is not treated as zero.</t>
  </si>
  <si>
    <t>The scale is an internal assessment scale, not a market benchmark.</t>
  </si>
  <si>
    <t>Mean of the two current-state values within one dimension.</t>
  </si>
  <si>
    <t>(Statement 1 value + Statement 2 value) / 2.</t>
  </si>
  <si>
    <t>Blank until both current responses in the dimension are present.</t>
  </si>
  <si>
    <t>Current averages are not combined across dimensions.</t>
  </si>
  <si>
    <t>Mean of the two optional target-state values within one dimension.</t>
  </si>
  <si>
    <t>(Target statement 1 value + Target statement 2 value) / 2.</t>
  </si>
  <si>
    <t>Blank until both target responses in the dimension are present.</t>
  </si>
  <si>
    <t>Target state is optional planning input.</t>
  </si>
  <si>
    <t>Maturity boundaries</t>
  </si>
  <si>
    <t>Reactive 0.00–0.79; Emerging 0.80–1.59; Established 1.60–2.39; Advanced 2.40–3.19; Intelligent 3.20–4.00.</t>
  </si>
  <si>
    <t>Level is derived from the applicable dimension average.</t>
  </si>
  <si>
    <t>No level is shown when the average is blank.</t>
  </si>
  <si>
    <t>A level is not an organisational maturity rating.</t>
  </si>
  <si>
    <t>Dimension gap</t>
  </si>
  <si>
    <t>Difference between optional target and current average for one dimension.</t>
  </si>
  <si>
    <t>Target average minus current average.</t>
  </si>
  <si>
    <t>Blank unless both current and target averages exist.</t>
  </si>
  <si>
    <t>Gaps are planning inputs only; they are not benefit estimates.</t>
  </si>
  <si>
    <t>Priority logic</t>
  </si>
  <si>
    <t>Weakest current-state dimensions are ranked after the current assessment is complete.</t>
  </si>
  <si>
    <t>Ascending current average; ties are broken by the fixed six-dimension order used in this workbook.</t>
  </si>
  <si>
    <t>All priority ranks remain blank until all twelve current-state responses are complete.</t>
  </si>
  <si>
    <t>Priority rank is not a substitute for business impact, risk or feasibility assessment.</t>
  </si>
  <si>
    <t>A transition control aligned to the dimension and its current maturity level.</t>
  </si>
  <si>
    <t>Reactive → define ownership and minimum control; Emerging → document and standardise; Established → enforce systematically and capture exceptions; Advanced → measure and establish feedback; Intelligent → monitor drift and refine.</t>
  </si>
  <si>
    <t>Blank if the current level is blank.</t>
  </si>
  <si>
    <t>No product or vendor is recommended.</t>
  </si>
  <si>
    <t>Evidence guidance</t>
  </si>
  <si>
    <t>Use observable records to support the selected response.</t>
  </si>
  <si>
    <t>Examples include price-source registers, effective-date history, contracted-price records, calculation specifications, override logs, approval policies, decision traces and exception reports.</t>
  </si>
  <si>
    <t>Evidence notes may remain blank, but unsupported responses should be treated cautiously.</t>
  </si>
  <si>
    <t>Existence of evidence alone does not prove control effectiveness.</t>
  </si>
  <si>
    <t>Data handling</t>
  </si>
  <si>
    <t>The workbook is a downloaded spreadsheet used locally by the user.</t>
  </si>
  <si>
    <t>No automatic transmission logic is included in the workbook.</t>
  </si>
  <si>
    <t>Not applicable.</t>
  </si>
  <si>
    <t>Use of the downloaded workbook does not automatically send data to Configure to WIN.</t>
  </si>
  <si>
    <t>Workbook information</t>
  </si>
  <si>
    <t>Chart note</t>
  </si>
  <si>
    <t>Publisher</t>
  </si>
  <si>
    <t>Configure to WIN</t>
  </si>
  <si>
    <t>Official online version</t>
  </si>
  <si>
    <t>Product/vendor recommendation</t>
  </si>
  <si>
    <t>None</t>
  </si>
  <si>
    <t>Current and target are separate series. The target series appears only for dimensions with two completed target-state answers.</t>
  </si>
  <si>
    <t>Configure to WIN | Definitions</t>
  </si>
  <si>
    <t>Reference definitions for the pricing, governance and assessment terms used in the workbook.</t>
  </si>
  <si>
    <t>Definitions describe how terms are used in this assessment and are not legal, accounting or industry-standard prescriptions.</t>
  </si>
  <si>
    <t>Definitions and calculation notes</t>
  </si>
  <si>
    <t>Category</t>
  </si>
  <si>
    <t>Term</t>
  </si>
  <si>
    <t>Calculation or use</t>
  </si>
  <si>
    <t>Important note</t>
  </si>
  <si>
    <t>Assessment concept</t>
  </si>
  <si>
    <t>Pricing execution maturity</t>
  </si>
  <si>
    <t>The degree to which pricing data, commercial calculations, price application, exceptions and evidence are controlled and improved during B2B quoting.</t>
  </si>
  <si>
    <t>Used as a dimension-level assessment concept; no overall organisational maturity level is calculated.</t>
  </si>
  <si>
    <t>A maturity level describes entered evidence against this workbook's scale, not an external benchmark.</t>
  </si>
  <si>
    <t>Price input</t>
  </si>
  <si>
    <t>List price</t>
  </si>
  <si>
    <t>The published or internally maintained reference price before customer-specific adjustments, discounts or other commercial effects.</t>
  </si>
  <si>
    <t>A controlled input that may serve as a starting point for price calculation.</t>
  </si>
  <si>
    <t>List price is not necessarily the price used or realised in a deal.</t>
  </si>
  <si>
    <t>Cost</t>
  </si>
  <si>
    <t>The commercial cost basis used for margin or deal-economics calculations.</t>
  </si>
  <si>
    <t>Used in margin and profitability logic when applicable.</t>
  </si>
  <si>
    <t>The appropriate cost basis depends on the organisation's defined methodology.</t>
  </si>
  <si>
    <t>Floor price</t>
  </si>
  <si>
    <t>A minimum permitted or review-triggering price threshold defined by commercial policy.</t>
  </si>
  <si>
    <t>Used as a validation or approval threshold.</t>
  </si>
  <si>
    <t>A floor is a governance input, not a market benchmark.</t>
  </si>
  <si>
    <t>Agreement pricing</t>
  </si>
  <si>
    <t>Customer-specific price</t>
  </si>
  <si>
    <t>A price explicitly defined for a particular account, customer segment or customer-product combination.</t>
  </si>
  <si>
    <t>Used when the agreement is applicable in the quote context.</t>
  </si>
  <si>
    <t>Applicability, version and effective date should be evidenced.</t>
  </si>
  <si>
    <t>Contracted price</t>
  </si>
  <si>
    <t>A price or pricing condition established by a commercial contract or agreement.</t>
  </si>
  <si>
    <t>Used when the governing contract applies to the quoted item and date.</t>
  </si>
  <si>
    <t>Contract interpretation remains an organisational responsibility.</t>
  </si>
  <si>
    <t>Price deviation</t>
  </si>
  <si>
    <t>The difference between an applicable reference or agreed price and the price proposed or used in the quote.</t>
  </si>
  <si>
    <t>Used to make departures from an expected price explicit.</t>
  </si>
  <si>
    <t>A deviation is not automatically an error; policy determines required action.</t>
  </si>
  <si>
    <t>Deal economics</t>
  </si>
  <si>
    <t>Discount</t>
  </si>
  <si>
    <t>A reduction from a defined reference price, expressed as an amount or percentage.</t>
  </si>
  <si>
    <t>Used in commercial calculations and, where applicable, approval logic.</t>
  </si>
  <si>
    <t>The reference price used for discount must be explicit.</t>
  </si>
  <si>
    <t>Rebate</t>
  </si>
  <si>
    <t>A retrospective, conditional or off-invoice commercial amount that changes realised economics.</t>
  </si>
  <si>
    <t>Included where relevant to true deal economics.</t>
  </si>
  <si>
    <t>Eligibility, timing and accounting treatment can differ by programme.</t>
  </si>
  <si>
    <t>Vendor incentive</t>
  </si>
  <si>
    <t>A supplier- or vendor-funded incentive that may affect expected deal economics.</t>
  </si>
  <si>
    <t>Included where relevant in expected cost or commercial outcome.</t>
  </si>
  <si>
    <t>Expected incentives should be distinguished from confirmed amounts.</t>
  </si>
  <si>
    <t>Margin</t>
  </si>
  <si>
    <t>The commercial difference between revenue and the defined cost basis, expressed as an amount or percentage.</t>
  </si>
  <si>
    <t>Used to assess deal economics and governance thresholds.</t>
  </si>
  <si>
    <t>Margin depends on the selected revenue and cost definitions.</t>
  </si>
  <si>
    <t>The combined commercial effect of price, discount, cost, rebates, incentives and other relevant value components.</t>
  </si>
  <si>
    <t>Used to evaluate the economic outcome of a quote or deal.</t>
  </si>
  <si>
    <t>This workbook assesses control maturity; it does not prescribe an accounting method.</t>
  </si>
  <si>
    <t>Execution control</t>
  </si>
  <si>
    <t>Manual override</t>
  </si>
  <si>
    <t>A user-entered change that replaces or bypasses a calculated, sourced or rule-derived pricing value.</t>
  </si>
  <si>
    <t>Used as evidence of exception handling and control.</t>
  </si>
  <si>
    <t>Overrides should remain attributable, reasoned and reviewable where material.</t>
  </si>
  <si>
    <t>Governance</t>
  </si>
  <si>
    <t>Pricing exception</t>
  </si>
  <si>
    <t>A pricing condition that falls outside defined policy, expected source data, thresholds or standard process.</t>
  </si>
  <si>
    <t>Used to trigger review, approval, logging or analysis as defined by policy.</t>
  </si>
  <si>
    <t>An exception is context-dependent and should be explicitly defined.</t>
  </si>
  <si>
    <t>Approval trigger</t>
  </si>
  <si>
    <t>A defined condition that determines when pricing approval is required.</t>
  </si>
  <si>
    <t>Used to route a quote or change into governed review.</t>
  </si>
  <si>
    <t>Triggers should be testable and aligned to authority rules.</t>
  </si>
  <si>
    <t>Approval authority</t>
  </si>
  <si>
    <t>The role or level authorised to approve a defined pricing exception or commercial condition.</t>
  </si>
  <si>
    <t>Used to determine who may approve under specified circumstances.</t>
  </si>
  <si>
    <t>Authority should distinguish role, threshold and substitution/escalation rules.</t>
  </si>
  <si>
    <t>Reapproval</t>
  </si>
  <si>
    <t>A renewed approval required after a material change to a previously approved quote or pricing condition.</t>
  </si>
  <si>
    <t>Used to preserve governance after specified changes.</t>
  </si>
  <si>
    <t>Material-change criteria should be explicitly defined.</t>
  </si>
  <si>
    <t>Performance visibility</t>
  </si>
  <si>
    <t>Price leakage</t>
  </si>
  <si>
    <t>The loss of expected commercial value through uncontrolled discounts, overrides, execution errors, missed conditions or other pricing effects.</t>
  </si>
  <si>
    <t>Used as an analysis concept for recurring commercial value loss.</t>
  </si>
  <si>
    <t>This workbook does not estimate a benchmark leakage rate.</t>
  </si>
  <si>
    <t>Traceability</t>
  </si>
  <si>
    <t>Decision trace</t>
  </si>
  <si>
    <t>A reconstructable record of source values, calculations, rules, exceptions, approvals and material decisions used to reach the released pricing outcome.</t>
  </si>
  <si>
    <t>Used as evidence of traceability and governance.</t>
  </si>
  <si>
    <t>A useful trace preserves enough context to explain what changed, why and by whom.</t>
  </si>
  <si>
    <t>Assessment state</t>
  </si>
  <si>
    <t>The respondent's selected maturity description for how a statement operates today.</t>
  </si>
  <si>
    <t>Converted from the selected label to a value from 0 to 4.</t>
  </si>
  <si>
    <t>Current-state results are based only on entered responses.</t>
  </si>
  <si>
    <t>An optional selected maturity description for the desired future operating state.</t>
  </si>
  <si>
    <t>Converted from the selected label to a value from 0 to 4 and used for planning.</t>
  </si>
  <si>
    <t>Target state is planning input, not a benchmark or recommendation.</t>
  </si>
  <si>
    <t>Target average minus current average for a dimension when both averages are available.</t>
  </si>
  <si>
    <t>Used to identify the size of the stated planning gap.</t>
  </si>
  <si>
    <t>A larger gap does not by itself determine business value, feasibility or urgency.</t>
  </si>
  <si>
    <t>A document, record, system trace, sample, report or other observable artefact supporting the selected maturity description.</t>
  </si>
  <si>
    <t>Used to challenge assumptions and make assessment responses reviewable.</t>
  </si>
  <si>
    <t>Evidence quality and relevance should be considered, not only its existence.</t>
  </si>
  <si>
    <t>Configure to WIN | Worked example</t>
  </si>
  <si>
    <t>A fictional industrial equipment distributor example showing completed responses, dimension results, priorities and example actions.</t>
  </si>
  <si>
    <t>Illustrative example — not customer data, benchmark data, advice or a recommended policy.</t>
  </si>
  <si>
    <t>Fictional completed assessment</t>
  </si>
  <si>
    <t>Calculated dimension results</t>
  </si>
  <si>
    <t>List and cost sources exist, but floor and currency ownership are partly manual.</t>
  </si>
  <si>
    <t>ERP and pricing workbook versions are documented but not always reconciled before quoting.</t>
  </si>
  <si>
    <t>Contract prices are stored by account, but product coverage and effective dates require manual checking.</t>
  </si>
  <si>
    <t>Deviation from the last contracted price is visible only when the salesperson adds it manually.</t>
  </si>
  <si>
    <t>Discount and margin logic is documented; rebate treatment is less consistent.</t>
  </si>
  <si>
    <t>Finance and pricing share a governed calculation specification used by the quoting tool.</t>
  </si>
  <si>
    <t>Standard price selection is repeatable, but some contract cases require manual confirmation.</t>
  </si>
  <si>
    <t>Overrides are visible in quote history but reasons are not always structured.</t>
  </si>
  <si>
    <t>Two example priorities</t>
  </si>
  <si>
    <t>Discount and margin triggers exist but some exception categories depend on judgement.</t>
  </si>
  <si>
    <t>Approval authority is documented; routing for substitutes and escalations is partly manual.</t>
  </si>
  <si>
    <t>Source and decision history is incomplete across ERP, email approval and the quoting tool.</t>
  </si>
  <si>
    <t>Exception reporting is periodic and does not consistently isolate recurring leakage patterns.</t>
  </si>
  <si>
    <t>Illustrative action examples</t>
  </si>
  <si>
    <t>Example action</t>
  </si>
  <si>
    <t>Create a minimum decision trace linking source values, calculation output, pricing exceptions and approval decisions for released quotes.</t>
  </si>
  <si>
    <t>Commercial operations</t>
  </si>
  <si>
    <t>2026-10-15</t>
  </si>
  <si>
    <t>Planned</t>
  </si>
  <si>
    <t>Decision-trace sample and monthly exception report</t>
  </si>
  <si>
    <t>Pilot on high-value equipment quotes before wider rollout.</t>
  </si>
  <si>
    <t>Standardise contracted-price applicability and effective-date checks and make price deviation explicit in the quote review step.</t>
  </si>
  <si>
    <t>Pricing</t>
  </si>
  <si>
    <t>2026-09-30</t>
  </si>
  <si>
    <t>In progress</t>
  </si>
  <si>
    <t>Contracted-price record and deviation test cases</t>
  </si>
  <si>
    <t>Start with top contracted accounts and expand after exception review.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</si>
</sst>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1">
    <font>
      <sz val="11.0"/>
      <color rgb="FF000000"/>
      <name val="Carlito"/>
      <scheme val="minor"/>
    </font>
    <font>
      <b/>
      <sz val="16.0"/>
      <color rgb="FFFFFFFF"/>
      <name val="Calibri"/>
    </font>
    <font>
      <sz val="11.0"/>
      <color rgb="FF0F172A"/>
      <name val="Calibri"/>
    </font>
    <font>
      <i/>
      <sz val="10.0"/>
      <color rgb="FF475569"/>
      <name val="Calibri"/>
    </font>
    <font/>
    <font>
      <b/>
      <sz val="10.0"/>
      <color rgb="FFFFFFFF"/>
      <name val="Calibri"/>
    </font>
    <font>
      <b/>
      <sz val="10.0"/>
      <color rgb="FF0F172A"/>
      <name val="Calibri"/>
    </font>
    <font>
      <sz val="10.0"/>
      <color rgb="FF0F172A"/>
      <name val="Calibri"/>
    </font>
    <font>
      <sz val="10.0"/>
      <color rgb="FF2563EB"/>
      <name val="Calibri"/>
    </font>
    <font>
      <sz val="8.0"/>
      <color rgb="FFFFFFFF"/>
      <name val="Calibri"/>
    </font>
    <font>
      <b/>
      <sz val="12.0"/>
      <color rgb="FF0F172A"/>
      <name val="Calibri"/>
    </font>
  </fonts>
  <fills count="7">
    <fill>
      <patternFill patternType="none"/>
    </fill>
    <fill>
      <patternFill patternType="lightGray"/>
    </fill>
    <fill>
      <patternFill patternType="solid">
        <fgColor rgb="FF0F172A"/>
        <bgColor rgb="FF0F172A"/>
      </patternFill>
    </fill>
    <fill>
      <patternFill patternType="solid">
        <fgColor rgb="FFF8FAFC"/>
        <bgColor rgb="FFF8FAFC"/>
      </patternFill>
    </fill>
    <fill>
      <patternFill patternType="solid">
        <fgColor rgb="FF5B21B6"/>
        <bgColor rgb="FF5B21B6"/>
      </patternFill>
    </fill>
    <fill>
      <patternFill patternType="solid">
        <fgColor rgb="FFF3E8FF"/>
        <bgColor rgb="FFF3E8FF"/>
      </patternFill>
    </fill>
    <fill>
      <patternFill patternType="solid">
        <fgColor rgb="FFECFEFF"/>
        <bgColor rgb="FFECFEFF"/>
      </patternFill>
    </fill>
  </fills>
  <borders count="15">
    <border/>
    <border>
      <bottom style="thin">
        <color rgb="FFCBD5E1"/>
      </bottom>
    </border>
    <border>
      <left style="thin">
        <color rgb="FFCBD5E1"/>
      </left>
      <top style="thin">
        <color rgb="FFCBD5E1"/>
      </top>
      <bottom style="thin">
        <color rgb="FFCBD5E1"/>
      </bottom>
    </border>
    <border>
      <top style="thin">
        <color rgb="FFCBD5E1"/>
      </top>
      <bottom style="thin">
        <color rgb="FFCBD5E1"/>
      </bottom>
    </border>
    <border>
      <right style="thin">
        <color rgb="FFCBD5E1"/>
      </right>
      <top style="thin">
        <color rgb="FFCBD5E1"/>
      </top>
      <bottom style="thin">
        <color rgb="FFCBD5E1"/>
      </bottom>
    </border>
    <border>
      <left style="thin">
        <color rgb="FFCBD5E1"/>
      </left>
      <top style="thin">
        <color rgb="FFCBD5E1"/>
      </top>
    </border>
    <border>
      <right style="thin">
        <color rgb="FFCBD5E1"/>
      </right>
      <top style="thin">
        <color rgb="FFCBD5E1"/>
      </top>
    </border>
    <border>
      <left style="thin">
        <color rgb="FFCBD5E1"/>
      </left>
    </border>
    <border>
      <right style="thin">
        <color rgb="FFCBD5E1"/>
      </right>
    </border>
    <border>
      <top style="thin">
        <color rgb="FFCBD5E1"/>
      </top>
    </border>
    <border>
      <left style="thin">
        <color rgb="FFCBD5E1"/>
      </left>
      <bottom style="thin">
        <color rgb="FFCBD5E1"/>
      </bottom>
    </border>
    <border>
      <left style="thin">
        <color rgb="FFCBD5E1"/>
      </left>
      <right style="thin">
        <color rgb="FFCBD5E1"/>
      </right>
      <top style="thin">
        <color rgb="FFCBD5E1"/>
      </top>
    </border>
    <border>
      <right style="thin">
        <color rgb="FFCBD5E1"/>
      </right>
      <bottom style="thin">
        <color rgb="FFCBD5E1"/>
      </bottom>
    </border>
    <border>
      <left style="thin">
        <color rgb="FFCBD5E1"/>
      </left>
      <right style="thin">
        <color rgb="FFCBD5E1"/>
      </right>
    </border>
    <border>
      <left style="thin">
        <color rgb="FFCBD5E1"/>
      </left>
      <right style="thin">
        <color rgb="FFCBD5E1"/>
      </right>
      <bottom style="thin">
        <color rgb="FFCBD5E1"/>
      </bottom>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0" fontId="2" numFmtId="0" xfId="0" applyAlignment="1" applyFont="1">
      <alignment shrinkToFit="0" vertical="center" wrapText="1"/>
    </xf>
    <xf borderId="1" fillId="3" fontId="3" numFmtId="0" xfId="0" applyAlignment="1" applyBorder="1" applyFill="1" applyFont="1">
      <alignment shrinkToFit="0" vertical="center" wrapText="1"/>
    </xf>
    <xf borderId="1" fillId="0" fontId="4" numFmtId="0" xfId="0" applyBorder="1" applyFont="1"/>
    <xf borderId="2" fillId="4" fontId="5" numFmtId="0" xfId="0" applyAlignment="1" applyBorder="1" applyFill="1" applyFont="1">
      <alignment shrinkToFit="0" vertical="center" wrapText="1"/>
    </xf>
    <xf borderId="3" fillId="0" fontId="4" numFmtId="0" xfId="0" applyBorder="1" applyFont="1"/>
    <xf borderId="4" fillId="0" fontId="4" numFmtId="0" xfId="0" applyBorder="1" applyFont="1"/>
    <xf borderId="5" fillId="3" fontId="6" numFmtId="0" xfId="0" applyAlignment="1" applyBorder="1" applyFill="1" applyFont="1">
      <alignment horizontal="left" shrinkToFit="0" vertical="top" wrapText="1"/>
    </xf>
    <xf borderId="2" fillId="2" fontId="5" numFmtId="0" xfId="0" applyAlignment="1" applyBorder="1" applyFill="1" applyFont="1">
      <alignment horizontal="center" shrinkToFit="0" vertical="center" wrapText="1"/>
    </xf>
    <xf borderId="6" fillId="3" fontId="7" numFmtId="0" xfId="0" applyAlignment="1" applyBorder="1" applyFill="1" applyFont="1">
      <alignment horizontal="left" shrinkToFit="0" vertical="top" wrapText="1"/>
    </xf>
    <xf borderId="3" fillId="2" fontId="5" numFmtId="0" xfId="0" applyAlignment="1" applyBorder="1" applyFill="1" applyFont="1">
      <alignment horizontal="center" shrinkToFit="0" vertical="center" wrapText="1"/>
    </xf>
    <xf borderId="7" fillId="3" fontId="6" numFmtId="0" xfId="0" applyAlignment="1" applyBorder="1" applyFill="1" applyFont="1">
      <alignment horizontal="left" shrinkToFit="0" vertical="top" wrapText="1"/>
    </xf>
    <xf borderId="8" fillId="3" fontId="7" numFmtId="0" xfId="0" applyAlignment="1" applyBorder="1" applyFill="1" applyFont="1">
      <alignment horizontal="left" shrinkToFit="0" vertical="top" wrapText="1"/>
    </xf>
    <xf borderId="4" fillId="2" fontId="5" numFmtId="0" xfId="0" applyAlignment="1" applyBorder="1" applyFill="1" applyFont="1">
      <alignment horizontal="center" shrinkToFit="0" vertical="center" wrapText="1"/>
    </xf>
    <xf borderId="5" fillId="0" fontId="6" numFmtId="0" xfId="0" applyAlignment="1" applyBorder="1" applyFont="1">
      <alignment horizontal="left" shrinkToFit="0" vertical="top" wrapText="1"/>
    </xf>
    <xf borderId="9" fillId="0" fontId="7" numFmtId="0" xfId="0" applyAlignment="1" applyBorder="1" applyFont="1">
      <alignment horizontal="left" shrinkToFit="0" vertical="top" wrapText="1"/>
    </xf>
    <xf borderId="5" fillId="0" fontId="7" numFmtId="0" xfId="0" applyAlignment="1" applyBorder="1" applyFont="1">
      <alignment horizontal="left" shrinkToFit="0" vertical="top" wrapText="1"/>
    </xf>
    <xf borderId="10" fillId="3" fontId="6" numFmtId="0" xfId="0" applyAlignment="1" applyBorder="1" applyFill="1" applyFont="1">
      <alignment horizontal="left" shrinkToFit="0" vertical="top" wrapText="1"/>
    </xf>
    <xf borderId="6" fillId="0" fontId="7" numFmtId="0" xfId="0" applyAlignment="1" applyBorder="1" applyFont="1">
      <alignment horizontal="left" shrinkToFit="0" vertical="top" wrapText="1"/>
    </xf>
    <xf borderId="11" fillId="5" fontId="7" numFmtId="0" xfId="0" applyAlignment="1" applyBorder="1" applyFill="1" applyFont="1">
      <alignment horizontal="left" shrinkToFit="0" vertical="top" wrapText="1"/>
    </xf>
    <xf borderId="12" fillId="3" fontId="7" numFmtId="0" xfId="0" applyAlignment="1" applyBorder="1" applyFill="1" applyFont="1">
      <alignment horizontal="left" shrinkToFit="0" vertical="top" wrapText="1"/>
    </xf>
    <xf borderId="7" fillId="0" fontId="6" numFmtId="0" xfId="0" applyAlignment="1" applyBorder="1" applyFont="1">
      <alignment horizontal="left" shrinkToFit="0" vertical="top" wrapText="1"/>
    </xf>
    <xf borderId="0" fillId="0" fontId="7" numFmtId="0" xfId="0" applyAlignment="1" applyFont="1">
      <alignment horizontal="left" shrinkToFit="0" vertical="top" wrapText="1"/>
    </xf>
    <xf borderId="8" fillId="0" fontId="7" numFmtId="0" xfId="0" applyAlignment="1" applyBorder="1" applyFont="1">
      <alignment horizontal="left" shrinkToFit="0" vertical="top" wrapText="1"/>
    </xf>
    <xf borderId="11" fillId="6" fontId="6" numFmtId="0" xfId="0" applyAlignment="1" applyBorder="1" applyFill="1" applyFont="1">
      <alignment horizontal="center" shrinkToFit="0" vertical="center" wrapText="1"/>
    </xf>
    <xf borderId="13" fillId="6" fontId="6" numFmtId="0" xfId="0" applyAlignment="1" applyBorder="1" applyFill="1" applyFont="1">
      <alignment horizontal="center" shrinkToFit="0" vertical="center" wrapText="1"/>
    </xf>
    <xf borderId="11" fillId="6" fontId="7" numFmtId="1" xfId="0" applyAlignment="1" applyBorder="1" applyFill="1" applyFont="1" applyNumberFormat="1">
      <alignment horizontal="center" shrinkToFit="0" vertical="center" wrapText="1"/>
    </xf>
    <xf borderId="14" fillId="6" fontId="6" numFmtId="0" xfId="0" applyAlignment="1" applyBorder="1" applyFill="1" applyFont="1">
      <alignment horizontal="center" shrinkToFit="0" vertical="center" wrapText="1"/>
    </xf>
    <xf borderId="12" fillId="0" fontId="7" numFmtId="0" xfId="0" applyAlignment="1" applyBorder="1" applyFont="1">
      <alignment horizontal="left" shrinkToFit="0" vertical="top" wrapText="1"/>
    </xf>
    <xf borderId="10" fillId="0" fontId="6" numFmtId="0" xfId="0" applyAlignment="1" applyBorder="1" applyFont="1">
      <alignment horizontal="left" shrinkToFit="0" vertical="top" wrapText="1"/>
    </xf>
    <xf borderId="5" fillId="6" fontId="7" numFmtId="1" xfId="0" applyAlignment="1" applyBorder="1" applyFill="1" applyFont="1" applyNumberFormat="1">
      <alignment horizontal="center" shrinkToFit="0" vertical="center" wrapText="1"/>
    </xf>
    <xf borderId="1" fillId="0" fontId="7" numFmtId="0" xfId="0" applyAlignment="1" applyBorder="1" applyFont="1">
      <alignment horizontal="left" shrinkToFit="0" vertical="top" wrapText="1"/>
    </xf>
    <xf borderId="5" fillId="6" fontId="6" numFmtId="0" xfId="0" applyAlignment="1" applyBorder="1" applyFill="1" applyFont="1">
      <alignment horizontal="left" shrinkToFit="0" vertical="top" wrapText="1"/>
    </xf>
    <xf borderId="6" fillId="6" fontId="7" numFmtId="2" xfId="0" applyAlignment="1" applyBorder="1" applyFill="1" applyFont="1" applyNumberFormat="1">
      <alignment horizontal="center" shrinkToFit="0" vertical="center" wrapText="1"/>
    </xf>
    <xf borderId="11" fillId="3" fontId="7" numFmtId="0" xfId="0" applyAlignment="1" applyBorder="1" applyFill="1" applyFont="1">
      <alignment horizontal="left" shrinkToFit="0" vertical="top" wrapText="1"/>
    </xf>
    <xf borderId="11" fillId="6" fontId="7" numFmtId="0" xfId="0" applyAlignment="1" applyBorder="1" applyFill="1" applyFont="1">
      <alignment horizontal="left" shrinkToFit="0" vertical="top" wrapText="1"/>
    </xf>
    <xf borderId="7" fillId="0" fontId="7" numFmtId="0" xfId="0" applyAlignment="1" applyBorder="1" applyFont="1">
      <alignment horizontal="left" shrinkToFit="0" vertical="top" wrapText="1"/>
    </xf>
    <xf borderId="6" fillId="6" fontId="8" numFmtId="0" xfId="0" applyAlignment="1" applyBorder="1" applyFill="1" applyFont="1">
      <alignment horizontal="left" readingOrder="0" shrinkToFit="0" vertical="top" wrapText="1"/>
    </xf>
    <xf borderId="13" fillId="5" fontId="7" numFmtId="0" xfId="0" applyAlignment="1" applyBorder="1" applyFill="1" applyFont="1">
      <alignment horizontal="left" shrinkToFit="0" vertical="top" wrapText="1"/>
    </xf>
    <xf borderId="10" fillId="6" fontId="6" numFmtId="0" xfId="0" applyAlignment="1" applyBorder="1" applyFill="1" applyFont="1">
      <alignment horizontal="left" shrinkToFit="0" vertical="top" wrapText="1"/>
    </xf>
    <xf borderId="13" fillId="6" fontId="7" numFmtId="1" xfId="0" applyAlignment="1" applyBorder="1" applyFill="1" applyFont="1" applyNumberFormat="1">
      <alignment horizontal="center" shrinkToFit="0" vertical="center" wrapText="1"/>
    </xf>
    <xf borderId="7" fillId="6" fontId="7" numFmtId="1" xfId="0" applyAlignment="1" applyBorder="1" applyFill="1" applyFont="1" applyNumberFormat="1">
      <alignment horizontal="center" shrinkToFit="0" vertical="center" wrapText="1"/>
    </xf>
    <xf borderId="12" fillId="6" fontId="8" numFmtId="0" xfId="0" applyAlignment="1" applyBorder="1" applyFill="1" applyFont="1">
      <alignment horizontal="left" readingOrder="0" shrinkToFit="0" vertical="top" wrapText="1"/>
    </xf>
    <xf borderId="8" fillId="6" fontId="7" numFmtId="2" xfId="0" applyAlignment="1" applyBorder="1" applyFill="1" applyFont="1" applyNumberFormat="1">
      <alignment horizontal="center" shrinkToFit="0" vertical="center" wrapText="1"/>
    </xf>
    <xf borderId="13" fillId="3" fontId="7" numFmtId="0" xfId="0" applyAlignment="1" applyBorder="1" applyFill="1" applyFont="1">
      <alignment horizontal="left" shrinkToFit="0" vertical="top" wrapText="1"/>
    </xf>
    <xf borderId="13" fillId="6" fontId="7" numFmtId="0" xfId="0" applyAlignment="1" applyBorder="1" applyFill="1" applyFont="1">
      <alignment horizontal="left" shrinkToFit="0" vertical="top" wrapText="1"/>
    </xf>
    <xf borderId="14" fillId="3" fontId="7" numFmtId="0" xfId="0" applyAlignment="1" applyBorder="1" applyFill="1" applyFont="1">
      <alignment horizontal="left" shrinkToFit="0" vertical="top" wrapText="1"/>
    </xf>
    <xf borderId="14" fillId="6" fontId="7" numFmtId="0" xfId="0" applyAlignment="1" applyBorder="1" applyFill="1" applyFont="1">
      <alignment horizontal="left" shrinkToFit="0" vertical="top" wrapText="1"/>
    </xf>
    <xf borderId="10" fillId="0" fontId="7" numFmtId="0" xfId="0" applyAlignment="1" applyBorder="1" applyFont="1">
      <alignment horizontal="left" shrinkToFit="0" vertical="top" wrapText="1"/>
    </xf>
    <xf borderId="0" fillId="0" fontId="9" numFmtId="0" xfId="0" applyFont="1"/>
    <xf borderId="14" fillId="5" fontId="7" numFmtId="0" xfId="0" applyAlignment="1" applyBorder="1" applyFill="1" applyFont="1">
      <alignment horizontal="left" shrinkToFit="0" vertical="top" wrapText="1"/>
    </xf>
    <xf borderId="14" fillId="6" fontId="7" numFmtId="1" xfId="0" applyAlignment="1" applyBorder="1" applyFill="1" applyFont="1" applyNumberFormat="1">
      <alignment horizontal="center" shrinkToFit="0" vertical="center" wrapText="1"/>
    </xf>
    <xf borderId="10" fillId="6" fontId="7" numFmtId="1" xfId="0" applyAlignment="1" applyBorder="1" applyFill="1" applyFont="1" applyNumberFormat="1">
      <alignment horizontal="center" shrinkToFit="0" vertical="center" wrapText="1"/>
    </xf>
    <xf borderId="12" fillId="6" fontId="7" numFmtId="2" xfId="0" applyAlignment="1" applyBorder="1" applyFill="1" applyFont="1" applyNumberFormat="1">
      <alignment horizontal="center" shrinkToFit="0" vertical="center" wrapText="1"/>
    </xf>
    <xf borderId="0" fillId="0" fontId="9" numFmtId="2" xfId="0" applyFont="1" applyNumberFormat="1"/>
    <xf borderId="11" fillId="0" fontId="7" numFmtId="0" xfId="0" applyAlignment="1" applyBorder="1" applyFont="1">
      <alignment horizontal="left" shrinkToFit="0" vertical="top" wrapText="1"/>
    </xf>
    <xf borderId="5" fillId="6" fontId="7" numFmtId="2" xfId="0" applyAlignment="1" applyBorder="1" applyFill="1" applyFont="1" applyNumberFormat="1">
      <alignment horizontal="center" shrinkToFit="0" vertical="center" wrapText="1"/>
    </xf>
    <xf borderId="9" fillId="6" fontId="7" numFmtId="0" xfId="0" applyAlignment="1" applyBorder="1" applyFill="1" applyFont="1">
      <alignment horizontal="center" shrinkToFit="0" vertical="center" wrapText="1"/>
    </xf>
    <xf borderId="9" fillId="6" fontId="7" numFmtId="2" xfId="0" applyAlignment="1" applyBorder="1" applyFill="1" applyFont="1" applyNumberFormat="1">
      <alignment horizontal="center" shrinkToFit="0" vertical="center" wrapText="1"/>
    </xf>
    <xf borderId="5" fillId="6" fontId="7" numFmtId="0" xfId="0" applyAlignment="1" applyBorder="1" applyFill="1" applyFont="1">
      <alignment horizontal="center" shrinkToFit="0" vertical="top" wrapText="1"/>
    </xf>
    <xf borderId="9" fillId="6" fontId="7" numFmtId="0" xfId="0" applyAlignment="1" applyBorder="1" applyFill="1" applyFont="1">
      <alignment horizontal="left" shrinkToFit="0" vertical="top" wrapText="1"/>
    </xf>
    <xf borderId="6" fillId="6" fontId="7" numFmtId="0" xfId="0" applyAlignment="1" applyBorder="1" applyFill="1" applyFont="1">
      <alignment horizontal="center" shrinkToFit="0" vertical="center" wrapText="1"/>
    </xf>
    <xf borderId="9" fillId="6" fontId="7" numFmtId="2" xfId="0" applyAlignment="1" applyBorder="1" applyFill="1" applyFont="1" applyNumberFormat="1">
      <alignment horizontal="left" shrinkToFit="0" vertical="top" wrapText="1"/>
    </xf>
    <xf borderId="6" fillId="6" fontId="7" numFmtId="0" xfId="0" applyAlignment="1" applyBorder="1" applyFill="1" applyFont="1">
      <alignment horizontal="left" shrinkToFit="0" vertical="top" wrapText="1"/>
    </xf>
    <xf borderId="5" fillId="5" fontId="7" numFmtId="0" xfId="0" applyAlignment="1" applyBorder="1" applyFill="1" applyFont="1">
      <alignment horizontal="left" shrinkToFit="0" vertical="top" wrapText="1"/>
    </xf>
    <xf borderId="9" fillId="5" fontId="7" numFmtId="0" xfId="0" applyAlignment="1" applyBorder="1" applyFill="1" applyFont="1">
      <alignment horizontal="left" shrinkToFit="0" vertical="top" wrapText="1"/>
    </xf>
    <xf borderId="9" fillId="5" fontId="7" numFmtId="164" xfId="0" applyAlignment="1" applyBorder="1" applyFill="1" applyFont="1" applyNumberFormat="1">
      <alignment horizontal="left" shrinkToFit="0" vertical="top" wrapText="1"/>
    </xf>
    <xf borderId="11" fillId="3" fontId="6" numFmtId="0" xfId="0" applyAlignment="1" applyBorder="1" applyFill="1" applyFont="1">
      <alignment horizontal="center" shrinkToFit="0" vertical="center" wrapText="1"/>
    </xf>
    <xf borderId="6" fillId="5" fontId="7" numFmtId="0" xfId="0" applyAlignment="1" applyBorder="1" applyFill="1" applyFont="1">
      <alignment horizontal="left" shrinkToFit="0" vertical="top" wrapText="1"/>
    </xf>
    <xf borderId="7" fillId="6" fontId="7" numFmtId="0" xfId="0" applyAlignment="1" applyBorder="1" applyFill="1" applyFont="1">
      <alignment horizontal="center" shrinkToFit="0" vertical="top" wrapText="1"/>
    </xf>
    <xf borderId="0" fillId="6" fontId="7" numFmtId="0" xfId="0" applyAlignment="1" applyFill="1" applyFont="1">
      <alignment horizontal="left" shrinkToFit="0" vertical="top" wrapText="1"/>
    </xf>
    <xf borderId="0" fillId="6" fontId="7" numFmtId="2" xfId="0" applyAlignment="1" applyFill="1" applyFont="1" applyNumberFormat="1">
      <alignment horizontal="left" shrinkToFit="0" vertical="top" wrapText="1"/>
    </xf>
    <xf borderId="13" fillId="0" fontId="7" numFmtId="0" xfId="0" applyAlignment="1" applyBorder="1" applyFont="1">
      <alignment horizontal="left" shrinkToFit="0" vertical="top" wrapText="1"/>
    </xf>
    <xf borderId="8" fillId="6" fontId="7" numFmtId="0" xfId="0" applyAlignment="1" applyBorder="1" applyFill="1" applyFont="1">
      <alignment horizontal="left" shrinkToFit="0" vertical="top" wrapText="1"/>
    </xf>
    <xf borderId="7" fillId="5" fontId="7" numFmtId="0" xfId="0" applyAlignment="1" applyBorder="1" applyFill="1" applyFont="1">
      <alignment horizontal="left" shrinkToFit="0" vertical="top" wrapText="1"/>
    </xf>
    <xf borderId="0" fillId="5" fontId="7" numFmtId="0" xfId="0" applyAlignment="1" applyFill="1" applyFont="1">
      <alignment horizontal="left" shrinkToFit="0" vertical="top" wrapText="1"/>
    </xf>
    <xf borderId="0" fillId="5" fontId="7" numFmtId="164" xfId="0" applyAlignment="1" applyFill="1" applyFont="1" applyNumberFormat="1">
      <alignment horizontal="left" shrinkToFit="0" vertical="top" wrapText="1"/>
    </xf>
    <xf borderId="8" fillId="5" fontId="7" numFmtId="0" xfId="0" applyAlignment="1" applyBorder="1" applyFill="1" applyFont="1">
      <alignment horizontal="left" shrinkToFit="0" vertical="top" wrapText="1"/>
    </xf>
    <xf borderId="7" fillId="6" fontId="7" numFmtId="2" xfId="0" applyAlignment="1" applyBorder="1" applyFill="1" applyFont="1" applyNumberFormat="1">
      <alignment horizontal="center" shrinkToFit="0" vertical="center" wrapText="1"/>
    </xf>
    <xf borderId="0" fillId="6" fontId="7" numFmtId="0" xfId="0" applyAlignment="1" applyFill="1" applyFont="1">
      <alignment horizontal="center" shrinkToFit="0" vertical="center" wrapText="1"/>
    </xf>
    <xf borderId="5" fillId="6" fontId="10" numFmtId="0" xfId="0" applyAlignment="1" applyBorder="1" applyFill="1" applyFont="1">
      <alignment horizontal="left" shrinkToFit="0" vertical="top" wrapText="1"/>
    </xf>
    <xf borderId="0" fillId="6" fontId="7" numFmtId="2" xfId="0" applyAlignment="1" applyFill="1" applyFont="1" applyNumberFormat="1">
      <alignment horizontal="center" shrinkToFit="0" vertical="center" wrapText="1"/>
    </xf>
    <xf borderId="9" fillId="0" fontId="4" numFmtId="0" xfId="0" applyBorder="1" applyFont="1"/>
    <xf borderId="6" fillId="0" fontId="4" numFmtId="0" xfId="0" applyBorder="1" applyFont="1"/>
    <xf borderId="7" fillId="0" fontId="4" numFmtId="0" xfId="0" applyBorder="1" applyFont="1"/>
    <xf borderId="8" fillId="0" fontId="4" numFmtId="0" xfId="0" applyBorder="1" applyFont="1"/>
    <xf borderId="10" fillId="0" fontId="4" numFmtId="0" xfId="0" applyBorder="1" applyFont="1"/>
    <xf borderId="12" fillId="0" fontId="4" numFmtId="0" xfId="0" applyBorder="1" applyFont="1"/>
    <xf borderId="2" fillId="6" fontId="7" numFmtId="0" xfId="0" applyAlignment="1" applyBorder="1" applyFill="1" applyFont="1">
      <alignment horizontal="left" shrinkToFit="0" vertical="top" wrapText="1"/>
    </xf>
    <xf borderId="8" fillId="6" fontId="7" numFmtId="0" xfId="0" applyAlignment="1" applyBorder="1" applyFill="1" applyFont="1">
      <alignment horizontal="center" shrinkToFit="0" vertical="center" wrapText="1"/>
    </xf>
    <xf borderId="14" fillId="3" fontId="6" numFmtId="0" xfId="0" applyAlignment="1" applyBorder="1" applyFill="1" applyFont="1">
      <alignment horizontal="center" shrinkToFit="0" vertical="center" wrapText="1"/>
    </xf>
    <xf borderId="4" fillId="6" fontId="8" numFmtId="0" xfId="0" applyAlignment="1" applyBorder="1" applyFill="1" applyFont="1">
      <alignment horizontal="left" readingOrder="0" shrinkToFit="0" vertical="top" wrapText="1"/>
    </xf>
    <xf borderId="10" fillId="6" fontId="7" numFmtId="0" xfId="0" applyAlignment="1" applyBorder="1" applyFill="1" applyFont="1">
      <alignment horizontal="center" shrinkToFit="0" vertical="top" wrapText="1"/>
    </xf>
    <xf borderId="1" fillId="6" fontId="7" numFmtId="0" xfId="0" applyAlignment="1" applyBorder="1" applyFill="1" applyFont="1">
      <alignment horizontal="left" shrinkToFit="0" vertical="top" wrapText="1"/>
    </xf>
    <xf borderId="1" fillId="6" fontId="7" numFmtId="2" xfId="0" applyAlignment="1" applyBorder="1" applyFill="1" applyFont="1" applyNumberFormat="1">
      <alignment horizontal="left" shrinkToFit="0" vertical="top" wrapText="1"/>
    </xf>
    <xf borderId="12" fillId="6" fontId="7" numFmtId="0" xfId="0" applyAlignment="1" applyBorder="1" applyFill="1" applyFont="1">
      <alignment horizontal="left" shrinkToFit="0" vertical="top" wrapText="1"/>
    </xf>
    <xf borderId="10" fillId="5" fontId="7" numFmtId="0" xfId="0" applyAlignment="1" applyBorder="1" applyFill="1" applyFont="1">
      <alignment horizontal="left" shrinkToFit="0" vertical="top" wrapText="1"/>
    </xf>
    <xf borderId="1" fillId="5" fontId="7" numFmtId="0" xfId="0" applyAlignment="1" applyBorder="1" applyFill="1" applyFont="1">
      <alignment horizontal="left" shrinkToFit="0" vertical="top" wrapText="1"/>
    </xf>
    <xf borderId="1" fillId="5" fontId="7" numFmtId="164" xfId="0" applyAlignment="1" applyBorder="1" applyFill="1" applyFont="1" applyNumberFormat="1">
      <alignment horizontal="left" shrinkToFit="0" vertical="top" wrapText="1"/>
    </xf>
    <xf borderId="12" fillId="5" fontId="7" numFmtId="0" xfId="0" applyAlignment="1" applyBorder="1" applyFill="1" applyFont="1">
      <alignment horizontal="left" shrinkToFit="0" vertical="top" wrapText="1"/>
    </xf>
    <xf borderId="5" fillId="3" fontId="7" numFmtId="0" xfId="0" applyAlignment="1" applyBorder="1" applyFill="1" applyFont="1">
      <alignment horizontal="left" shrinkToFit="0" vertical="top" wrapText="1"/>
    </xf>
    <xf borderId="8" fillId="3" fontId="8" numFmtId="0" xfId="0" applyAlignment="1" applyBorder="1" applyFill="1" applyFont="1">
      <alignment horizontal="left" readingOrder="0" shrinkToFit="0" vertical="top" wrapText="1"/>
    </xf>
    <xf borderId="14" fillId="0" fontId="7" numFmtId="0" xfId="0" applyAlignment="1" applyBorder="1" applyFont="1">
      <alignment horizontal="left" shrinkToFit="0" vertical="top" wrapText="1"/>
    </xf>
    <xf borderId="10" fillId="6" fontId="7" numFmtId="2" xfId="0" applyAlignment="1" applyBorder="1" applyFill="1" applyFont="1" applyNumberFormat="1">
      <alignment horizontal="center" shrinkToFit="0" vertical="center" wrapText="1"/>
    </xf>
    <xf borderId="1" fillId="6" fontId="7" numFmtId="0" xfId="0" applyAlignment="1" applyBorder="1" applyFill="1" applyFont="1">
      <alignment horizontal="center" shrinkToFit="0" vertical="center" wrapText="1"/>
    </xf>
    <xf borderId="1" fillId="6" fontId="7" numFmtId="2" xfId="0" applyAlignment="1" applyBorder="1" applyFill="1" applyFont="1" applyNumberFormat="1">
      <alignment horizontal="center" shrinkToFit="0" vertical="center" wrapText="1"/>
    </xf>
    <xf borderId="12" fillId="6" fontId="7" numFmtId="0" xfId="0" applyAlignment="1" applyBorder="1" applyFill="1" applyFont="1">
      <alignment horizontal="center" shrinkToFit="0" vertical="center" wrapText="1"/>
    </xf>
    <xf borderId="9" fillId="0" fontId="6" numFmtId="0" xfId="0" applyAlignment="1" applyBorder="1" applyFont="1">
      <alignment horizontal="left" shrinkToFit="0" vertical="top" wrapText="1"/>
    </xf>
    <xf borderId="0" fillId="0" fontId="6" numFmtId="0" xfId="0" applyAlignment="1" applyFont="1">
      <alignment horizontal="left" shrinkToFit="0" vertical="top" wrapText="1"/>
    </xf>
    <xf borderId="1" fillId="0" fontId="6" numFmtId="0" xfId="0" applyAlignment="1" applyBorder="1" applyFont="1">
      <alignment horizontal="left" shrinkToFit="0" vertical="top" wrapText="1"/>
    </xf>
    <xf borderId="9" fillId="3" fontId="7" numFmtId="0" xfId="0" applyAlignment="1" applyBorder="1" applyFill="1" applyFont="1">
      <alignment horizontal="left" shrinkToFit="0" vertical="top" wrapText="1"/>
    </xf>
    <xf borderId="10" fillId="3" fontId="7" numFmtId="0" xfId="0" applyAlignment="1" applyBorder="1" applyFill="1" applyFont="1">
      <alignment horizontal="left" shrinkToFit="0" vertical="top" wrapText="1"/>
    </xf>
    <xf borderId="1" fillId="3" fontId="7"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Current versus target pricing maturity</a:t>
            </a:r>
          </a:p>
        </c:rich>
      </c:tx>
      <c:overlay val="0"/>
    </c:title>
    <c:plotArea>
      <c:layout/>
      <c:barChart>
        <c:barDir val="bar"/>
        <c:ser>
          <c:idx val="0"/>
          <c:order val="0"/>
          <c:cat>
            <c:strRef>
              <c:f>'Maturity profile'!$X$6:$X$11</c:f>
            </c:strRef>
          </c:cat>
          <c:val>
            <c:numRef>
              <c:f>'Maturity profile'!$Y$6:$Y$11</c:f>
              <c:numCache/>
            </c:numRef>
          </c:val>
        </c:ser>
        <c:ser>
          <c:idx val="1"/>
          <c:order val="1"/>
          <c:cat>
            <c:strRef>
              <c:f>'Maturity profile'!$X$6:$X$11</c:f>
            </c:strRef>
          </c:cat>
          <c:val>
            <c:numRef>
              <c:f>'Maturity profile'!$Z$6:$Z$11</c:f>
              <c:numCache/>
            </c:numRef>
          </c:val>
        </c:ser>
        <c:axId val="1880989947"/>
        <c:axId val="1294360426"/>
      </c:barChart>
      <c:catAx>
        <c:axId val="188098994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1294360426"/>
      </c:catAx>
      <c:valAx>
        <c:axId val="1294360426"/>
        <c:scaling>
          <c:orientation val="minMax"/>
        </c:scaling>
        <c:delete val="0"/>
        <c:axPos val="b"/>
        <c:tickLblPos val="nextTo"/>
        <c:spPr>
          <a:ln>
            <a:noFill/>
          </a:ln>
        </c:spPr>
        <c:crossAx val="1880989947"/>
        <c:crosses val="max"/>
      </c:valAx>
    </c:plotArea>
    <c:legend>
      <c:legendPos val="b"/>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Worked example — current versus target</a:t>
            </a:r>
          </a:p>
        </c:rich>
      </c:tx>
      <c:overlay val="0"/>
    </c:title>
    <c:plotArea>
      <c:layout/>
      <c:barChart>
        <c:barDir val="bar"/>
        <c:ser>
          <c:idx val="0"/>
          <c:order val="0"/>
          <c:tx>
            <c:v>Current</c:v>
          </c:tx>
          <c:spPr>
            <a:solidFill>
              <a:schemeClr val="accent1"/>
            </a:solidFill>
            <a:ln cmpd="sng">
              <a:noFill/>
            </a:ln>
          </c:spPr>
          <c:cat>
            <c:strRef>
              <c:f>'Worked example'!$X$6:$X$11</c:f>
            </c:strRef>
          </c:cat>
          <c:val>
            <c:numRef>
              <c:f>'Worked example'!$Y$6:$Y$11</c:f>
              <c:numCache/>
            </c:numRef>
          </c:val>
        </c:ser>
        <c:ser>
          <c:idx val="1"/>
          <c:order val="1"/>
          <c:tx>
            <c:v>Target</c:v>
          </c:tx>
          <c:spPr>
            <a:solidFill>
              <a:schemeClr val="accent2"/>
            </a:solidFill>
            <a:ln cmpd="sng">
              <a:noFill/>
            </a:ln>
          </c:spPr>
          <c:cat>
            <c:strRef>
              <c:f>'Worked example'!$X$6:$X$11</c:f>
            </c:strRef>
          </c:cat>
          <c:val>
            <c:numRef>
              <c:f>'Worked example'!$Z$6:$Z$11</c:f>
              <c:numCache/>
            </c:numRef>
          </c:val>
        </c:ser>
        <c:axId val="846326376"/>
        <c:axId val="289520336"/>
      </c:barChart>
      <c:catAx>
        <c:axId val="84632637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289520336"/>
      </c:catAx>
      <c:valAx>
        <c:axId val="289520336"/>
        <c:scaling>
          <c:orientation val="minMax"/>
          <c:max val="4.0"/>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 sourceLinked="0"/>
        <c:majorTickMark val="none"/>
        <c:minorTickMark val="none"/>
        <c:tickLblPos val="nextTo"/>
        <c:spPr>
          <a:ln>
            <a:noFill/>
          </a:ln>
        </c:spPr>
        <c:txPr>
          <a:bodyPr/>
          <a:lstStyle/>
          <a:p>
            <a:pPr lvl="0">
              <a:defRPr b="0">
                <a:solidFill>
                  <a:srgbClr val="000000"/>
                </a:solidFill>
                <a:latin typeface="+mn-lt"/>
              </a:defRPr>
            </a:pPr>
          </a:p>
        </c:txPr>
        <c:crossAx val="846326376"/>
        <c:crosses val="max"/>
        <c:majorUnit val="1.0"/>
      </c:valAx>
    </c:plotArea>
    <c:legend>
      <c:legendPos val="b"/>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13</xdr:row>
      <xdr:rowOff>0</xdr:rowOff>
    </xdr:from>
    <xdr:ext cx="6858000" cy="295275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18</xdr:row>
      <xdr:rowOff>0</xdr:rowOff>
    </xdr:from>
    <xdr:ext cx="6572250" cy="2857500"/>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onfigure.win/resources/pricing-maturity-assessment" TargetMode="External"/><Relationship Id="rId2" Type="http://schemas.openxmlformats.org/officeDocument/2006/relationships/hyperlink" Target="https://configure.win/quote-performance-scan"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configure.win/quote-performance-scan"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configure.win/resources/pricing-maturity-assessment"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0"/>
    <col customWidth="1" min="2" max="2" width="90.0"/>
    <col customWidth="1" min="3" max="8" width="3.0"/>
    <col customWidth="1" min="9" max="26" width="8.63"/>
  </cols>
  <sheetData>
    <row r="1" ht="27.75" customHeight="1">
      <c r="A1" s="1" t="s">
        <v>1</v>
      </c>
    </row>
    <row r="2" ht="24.0" customHeight="1">
      <c r="A2" s="2" t="s">
        <v>3</v>
      </c>
    </row>
    <row r="3" ht="33.75" customHeight="1">
      <c r="A3" s="3" t="s">
        <v>5</v>
      </c>
      <c r="B3" s="4"/>
      <c r="C3" s="4"/>
      <c r="D3" s="4"/>
      <c r="E3" s="4"/>
      <c r="F3" s="4"/>
      <c r="G3" s="4"/>
      <c r="H3" s="4"/>
    </row>
    <row r="4" ht="9.75" customHeight="1"/>
    <row r="5">
      <c r="A5" s="5" t="s">
        <v>10</v>
      </c>
      <c r="B5" s="6"/>
      <c r="C5" s="6"/>
      <c r="D5" s="6"/>
      <c r="E5" s="6"/>
      <c r="F5" s="6"/>
      <c r="G5" s="6"/>
      <c r="H5" s="7"/>
    </row>
    <row r="6" ht="36.0" customHeight="1">
      <c r="A6" s="8" t="s">
        <v>13</v>
      </c>
      <c r="B6" s="10" t="s">
        <v>15</v>
      </c>
    </row>
    <row r="7" ht="36.0" customHeight="1">
      <c r="A7" s="12" t="s">
        <v>18</v>
      </c>
      <c r="B7" s="13" t="s">
        <v>24</v>
      </c>
    </row>
    <row r="8" ht="36.0" customHeight="1">
      <c r="A8" s="12" t="s">
        <v>30</v>
      </c>
      <c r="B8" s="13" t="s">
        <v>32</v>
      </c>
    </row>
    <row r="9" ht="36.0" customHeight="1">
      <c r="A9" s="12" t="s">
        <v>34</v>
      </c>
      <c r="B9" s="13" t="s">
        <v>35</v>
      </c>
    </row>
    <row r="10" ht="36.0" customHeight="1">
      <c r="A10" s="12" t="s">
        <v>36</v>
      </c>
      <c r="B10" s="13" t="s">
        <v>37</v>
      </c>
    </row>
    <row r="11" ht="36.0" customHeight="1">
      <c r="A11" s="18" t="s">
        <v>27</v>
      </c>
      <c r="B11" s="21" t="s">
        <v>49</v>
      </c>
    </row>
    <row r="13">
      <c r="A13" s="5" t="s">
        <v>51</v>
      </c>
      <c r="B13" s="6"/>
      <c r="C13" s="6"/>
      <c r="D13" s="6"/>
      <c r="E13" s="6"/>
      <c r="F13" s="6"/>
      <c r="G13" s="6"/>
      <c r="H13" s="7"/>
    </row>
    <row r="14">
      <c r="A14" s="25">
        <v>1.0</v>
      </c>
      <c r="B14" s="19" t="s">
        <v>63</v>
      </c>
    </row>
    <row r="15">
      <c r="A15" s="26">
        <v>2.0</v>
      </c>
      <c r="B15" s="24" t="s">
        <v>69</v>
      </c>
    </row>
    <row r="16">
      <c r="A16" s="26">
        <v>3.0</v>
      </c>
      <c r="B16" s="24" t="s">
        <v>73</v>
      </c>
    </row>
    <row r="17">
      <c r="A17" s="28">
        <v>4.0</v>
      </c>
      <c r="B17" s="29" t="s">
        <v>78</v>
      </c>
    </row>
    <row r="19">
      <c r="A19" s="5" t="s">
        <v>82</v>
      </c>
      <c r="B19" s="6"/>
      <c r="C19" s="6"/>
      <c r="D19" s="6"/>
      <c r="E19" s="6"/>
      <c r="F19" s="6"/>
      <c r="G19" s="6"/>
      <c r="H19" s="7"/>
    </row>
    <row r="20">
      <c r="A20" s="33" t="s">
        <v>88</v>
      </c>
      <c r="B20" s="38" t="s">
        <v>91</v>
      </c>
    </row>
    <row r="21" ht="15.75" customHeight="1">
      <c r="A21" s="40" t="s">
        <v>94</v>
      </c>
      <c r="B21" s="43" t="s">
        <v>95</v>
      </c>
    </row>
    <row r="22" ht="15.75" customHeight="1"/>
    <row r="23" ht="15.75" customHeight="1">
      <c r="A23" s="8" t="s">
        <v>96</v>
      </c>
      <c r="B23" s="10" t="s">
        <v>97</v>
      </c>
    </row>
    <row r="24" ht="15.75" customHeight="1">
      <c r="A24" s="12" t="s">
        <v>98</v>
      </c>
      <c r="B24" s="13" t="s">
        <v>99</v>
      </c>
    </row>
    <row r="25" ht="15.75" customHeight="1">
      <c r="A25" s="18" t="s">
        <v>100</v>
      </c>
      <c r="B25" s="21" t="s">
        <v>102</v>
      </c>
    </row>
    <row r="26" ht="15.75" customHeight="1"/>
    <row r="27" ht="15.75" customHeight="1">
      <c r="A27" s="5" t="s">
        <v>103</v>
      </c>
      <c r="B27" s="6"/>
      <c r="C27" s="6"/>
      <c r="D27" s="6"/>
      <c r="E27" s="6"/>
      <c r="F27" s="6"/>
      <c r="G27" s="6"/>
      <c r="H27" s="7"/>
    </row>
    <row r="28" ht="36.0" customHeight="1">
      <c r="A28" s="8" t="s">
        <v>104</v>
      </c>
      <c r="B28" s="10" t="s">
        <v>106</v>
      </c>
    </row>
    <row r="29" ht="36.0" customHeight="1">
      <c r="A29" s="12" t="s">
        <v>107</v>
      </c>
      <c r="B29" s="13" t="s">
        <v>108</v>
      </c>
    </row>
    <row r="30" ht="36.0" customHeight="1">
      <c r="A30" s="12" t="s">
        <v>109</v>
      </c>
      <c r="B30" s="13" t="s">
        <v>110</v>
      </c>
    </row>
    <row r="31" ht="36.0" customHeight="1">
      <c r="A31" s="12" t="s">
        <v>111</v>
      </c>
      <c r="B31" s="13" t="s">
        <v>112</v>
      </c>
    </row>
    <row r="32" ht="36.0" customHeight="1">
      <c r="A32" s="18" t="s">
        <v>113</v>
      </c>
      <c r="B32" s="21" t="s">
        <v>114</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H1"/>
    <mergeCell ref="A2:H2"/>
    <mergeCell ref="A3:H3"/>
    <mergeCell ref="A5:H5"/>
    <mergeCell ref="A13:H13"/>
    <mergeCell ref="A19:H19"/>
    <mergeCell ref="A27:H27"/>
  </mergeCells>
  <hyperlinks>
    <hyperlink r:id="rId1" ref="B20"/>
    <hyperlink r:id="rId2" ref="B21"/>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2" width="28.0"/>
    <col customWidth="1" min="3" max="3" width="58.0"/>
    <col customWidth="1" min="4" max="4" width="31.0"/>
    <col customWidth="1" min="5" max="5" width="12.0"/>
    <col customWidth="1" min="6" max="6" width="31.0"/>
    <col customWidth="1" min="7" max="7" width="12.0"/>
    <col customWidth="1" min="8" max="8" width="10.0"/>
    <col customWidth="1" min="9" max="9" width="38.0"/>
    <col customWidth="1" min="10" max="10" width="3.0"/>
    <col customWidth="1" min="11" max="11" width="34.0"/>
    <col customWidth="1" min="12" max="12" width="44.0"/>
    <col customWidth="1" min="13" max="13" width="3.0"/>
    <col customWidth="1" min="14" max="26" width="8.63"/>
  </cols>
  <sheetData>
    <row r="1" ht="27.75" customHeight="1">
      <c r="A1" s="1" t="s">
        <v>0</v>
      </c>
    </row>
    <row r="2" ht="24.0" customHeight="1">
      <c r="A2" s="2" t="s">
        <v>2</v>
      </c>
    </row>
    <row r="3" ht="33.75" customHeight="1">
      <c r="A3" s="3" t="s">
        <v>6</v>
      </c>
      <c r="B3" s="4"/>
      <c r="C3" s="4"/>
      <c r="D3" s="4"/>
      <c r="E3" s="4"/>
      <c r="F3" s="4"/>
      <c r="G3" s="4"/>
      <c r="H3" s="4"/>
      <c r="I3" s="4"/>
      <c r="J3" s="4"/>
      <c r="K3" s="4"/>
      <c r="L3" s="4"/>
      <c r="M3" s="4"/>
    </row>
    <row r="4" ht="9.75" customHeight="1"/>
    <row r="5">
      <c r="A5" s="5" t="s">
        <v>11</v>
      </c>
      <c r="B5" s="6"/>
      <c r="C5" s="6"/>
      <c r="D5" s="6"/>
      <c r="E5" s="6"/>
      <c r="F5" s="6"/>
      <c r="G5" s="6"/>
      <c r="H5" s="6"/>
      <c r="I5" s="7"/>
      <c r="K5" s="5" t="s">
        <v>12</v>
      </c>
      <c r="L5" s="6"/>
      <c r="M5" s="7"/>
    </row>
    <row r="6" ht="31.5" customHeight="1">
      <c r="A6" s="9" t="s">
        <v>16</v>
      </c>
      <c r="B6" s="11" t="s">
        <v>14</v>
      </c>
      <c r="C6" s="11" t="s">
        <v>20</v>
      </c>
      <c r="D6" s="11" t="s">
        <v>22</v>
      </c>
      <c r="E6" s="11" t="s">
        <v>26</v>
      </c>
      <c r="F6" s="11" t="s">
        <v>27</v>
      </c>
      <c r="G6" s="11" t="s">
        <v>29</v>
      </c>
      <c r="H6" s="11" t="s">
        <v>31</v>
      </c>
      <c r="I6" s="14" t="s">
        <v>33</v>
      </c>
      <c r="K6" s="9" t="s">
        <v>39</v>
      </c>
      <c r="L6" s="14" t="s">
        <v>40</v>
      </c>
    </row>
    <row r="7" ht="45.75" customHeight="1">
      <c r="A7" s="17">
        <v>1.0</v>
      </c>
      <c r="B7" s="16" t="s">
        <v>38</v>
      </c>
      <c r="C7" s="19" t="s">
        <v>47</v>
      </c>
      <c r="D7" s="20"/>
      <c r="E7" s="27" t="str">
        <f t="shared" ref="E7:E18" si="1">IF(D7="","",VALUE(LEFT(D7,1)))</f>
        <v/>
      </c>
      <c r="F7" s="20"/>
      <c r="G7" s="31" t="str">
        <f t="shared" ref="G7:G18" si="2">IF(F7="","",VALUE(LEFT(F7,1)))</f>
        <v/>
      </c>
      <c r="H7" s="34" t="str">
        <f t="shared" ref="H7:H18" si="3">IF(OR(E7="",G7=""),"",G7-E7)</f>
        <v/>
      </c>
      <c r="I7" s="20"/>
      <c r="K7" s="35" t="s">
        <v>92</v>
      </c>
      <c r="L7" s="36">
        <f>COUNTIF(D7:D18,"&lt;&gt;")</f>
        <v>0</v>
      </c>
    </row>
    <row r="8" ht="45.75" customHeight="1">
      <c r="A8" s="37">
        <v>2.0</v>
      </c>
      <c r="B8" s="23" t="s">
        <v>38</v>
      </c>
      <c r="C8" s="24" t="s">
        <v>93</v>
      </c>
      <c r="D8" s="39"/>
      <c r="E8" s="41" t="str">
        <f t="shared" si="1"/>
        <v/>
      </c>
      <c r="F8" s="39"/>
      <c r="G8" s="42" t="str">
        <f t="shared" si="2"/>
        <v/>
      </c>
      <c r="H8" s="44" t="str">
        <f t="shared" si="3"/>
        <v/>
      </c>
      <c r="I8" s="39"/>
      <c r="K8" s="45" t="s">
        <v>101</v>
      </c>
      <c r="L8" s="46">
        <f>COUNTIF(F7:F18,"&lt;&gt;")</f>
        <v>0</v>
      </c>
    </row>
    <row r="9" ht="45.75" customHeight="1">
      <c r="A9" s="37">
        <v>3.0</v>
      </c>
      <c r="B9" s="23" t="s">
        <v>48</v>
      </c>
      <c r="C9" s="24" t="s">
        <v>105</v>
      </c>
      <c r="D9" s="39"/>
      <c r="E9" s="41" t="str">
        <f t="shared" si="1"/>
        <v/>
      </c>
      <c r="F9" s="39"/>
      <c r="G9" s="42" t="str">
        <f t="shared" si="2"/>
        <v/>
      </c>
      <c r="H9" s="44" t="str">
        <f t="shared" si="3"/>
        <v/>
      </c>
      <c r="I9" s="39"/>
      <c r="K9" s="45" t="s">
        <v>12</v>
      </c>
      <c r="L9" s="46" t="str">
        <f>IF(L7=0,"Not started",IF(L7=12,"Complete","In progress — "&amp;L7&amp;" of 12 current-state statements completed"))</f>
        <v>Not started</v>
      </c>
    </row>
    <row r="10" ht="51.75" customHeight="1">
      <c r="A10" s="37">
        <v>4.0</v>
      </c>
      <c r="B10" s="23" t="s">
        <v>48</v>
      </c>
      <c r="C10" s="24" t="s">
        <v>115</v>
      </c>
      <c r="D10" s="39"/>
      <c r="E10" s="41" t="str">
        <f t="shared" si="1"/>
        <v/>
      </c>
      <c r="F10" s="39"/>
      <c r="G10" s="42" t="str">
        <f t="shared" si="2"/>
        <v/>
      </c>
      <c r="H10" s="44" t="str">
        <f t="shared" si="3"/>
        <v/>
      </c>
      <c r="I10" s="39"/>
      <c r="K10" s="47" t="s">
        <v>116</v>
      </c>
      <c r="L10" s="48" t="str">
        <f>IF(L7=12,"","Complete all twelve current-state statements before interpreting the two weakest dimensions or priority rank.")</f>
        <v>Complete all twelve current-state statements before interpreting the two weakest dimensions or priority rank.</v>
      </c>
    </row>
    <row r="11" ht="45.75" customHeight="1">
      <c r="A11" s="37">
        <v>5.0</v>
      </c>
      <c r="B11" s="23" t="s">
        <v>57</v>
      </c>
      <c r="C11" s="24" t="s">
        <v>117</v>
      </c>
      <c r="D11" s="39"/>
      <c r="E11" s="41" t="str">
        <f t="shared" si="1"/>
        <v/>
      </c>
      <c r="F11" s="39"/>
      <c r="G11" s="42" t="str">
        <f t="shared" si="2"/>
        <v/>
      </c>
      <c r="H11" s="44" t="str">
        <f t="shared" si="3"/>
        <v/>
      </c>
      <c r="I11" s="39"/>
    </row>
    <row r="12" ht="45.75" customHeight="1">
      <c r="A12" s="37">
        <v>6.0</v>
      </c>
      <c r="B12" s="23" t="s">
        <v>57</v>
      </c>
      <c r="C12" s="24" t="s">
        <v>118</v>
      </c>
      <c r="D12" s="39"/>
      <c r="E12" s="41" t="str">
        <f t="shared" si="1"/>
        <v/>
      </c>
      <c r="F12" s="39"/>
      <c r="G12" s="42" t="str">
        <f t="shared" si="2"/>
        <v/>
      </c>
      <c r="H12" s="44" t="str">
        <f t="shared" si="3"/>
        <v/>
      </c>
      <c r="I12" s="39"/>
      <c r="K12" s="5" t="s">
        <v>119</v>
      </c>
      <c r="L12" s="6"/>
      <c r="M12" s="7"/>
    </row>
    <row r="13" ht="45.75" customHeight="1">
      <c r="A13" s="37">
        <v>7.0</v>
      </c>
      <c r="B13" s="23" t="s">
        <v>65</v>
      </c>
      <c r="C13" s="24" t="s">
        <v>120</v>
      </c>
      <c r="D13" s="39"/>
      <c r="E13" s="41" t="str">
        <f t="shared" si="1"/>
        <v/>
      </c>
      <c r="F13" s="39"/>
      <c r="G13" s="42" t="str">
        <f t="shared" si="2"/>
        <v/>
      </c>
      <c r="H13" s="44" t="str">
        <f t="shared" si="3"/>
        <v/>
      </c>
      <c r="I13" s="39"/>
      <c r="K13" s="8" t="s">
        <v>121</v>
      </c>
      <c r="L13" s="10" t="s">
        <v>122</v>
      </c>
    </row>
    <row r="14" ht="45.75" customHeight="1">
      <c r="A14" s="37">
        <v>8.0</v>
      </c>
      <c r="B14" s="23" t="s">
        <v>65</v>
      </c>
      <c r="C14" s="24" t="s">
        <v>123</v>
      </c>
      <c r="D14" s="39"/>
      <c r="E14" s="41" t="str">
        <f t="shared" si="1"/>
        <v/>
      </c>
      <c r="F14" s="39"/>
      <c r="G14" s="42" t="str">
        <f t="shared" si="2"/>
        <v/>
      </c>
      <c r="H14" s="44" t="str">
        <f t="shared" si="3"/>
        <v/>
      </c>
      <c r="I14" s="39"/>
      <c r="K14" s="12" t="s">
        <v>125</v>
      </c>
      <c r="L14" s="13" t="s">
        <v>126</v>
      </c>
    </row>
    <row r="15" ht="45.75" customHeight="1">
      <c r="A15" s="37">
        <v>9.0</v>
      </c>
      <c r="B15" s="23" t="s">
        <v>74</v>
      </c>
      <c r="C15" s="24" t="s">
        <v>128</v>
      </c>
      <c r="D15" s="39"/>
      <c r="E15" s="41" t="str">
        <f t="shared" si="1"/>
        <v/>
      </c>
      <c r="F15" s="39"/>
      <c r="G15" s="42" t="str">
        <f t="shared" si="2"/>
        <v/>
      </c>
      <c r="H15" s="44" t="str">
        <f t="shared" si="3"/>
        <v/>
      </c>
      <c r="I15" s="39"/>
      <c r="K15" s="12" t="s">
        <v>130</v>
      </c>
      <c r="L15" s="13" t="s">
        <v>131</v>
      </c>
    </row>
    <row r="16" ht="45.75" customHeight="1">
      <c r="A16" s="37">
        <v>10.0</v>
      </c>
      <c r="B16" s="23" t="s">
        <v>74</v>
      </c>
      <c r="C16" s="24" t="s">
        <v>132</v>
      </c>
      <c r="D16" s="39"/>
      <c r="E16" s="41" t="str">
        <f t="shared" si="1"/>
        <v/>
      </c>
      <c r="F16" s="39"/>
      <c r="G16" s="42" t="str">
        <f t="shared" si="2"/>
        <v/>
      </c>
      <c r="H16" s="44" t="str">
        <f t="shared" si="3"/>
        <v/>
      </c>
      <c r="I16" s="39"/>
      <c r="K16" s="12" t="s">
        <v>133</v>
      </c>
      <c r="L16" s="13" t="s">
        <v>134</v>
      </c>
    </row>
    <row r="17" ht="45.75" customHeight="1">
      <c r="A17" s="37">
        <v>11.0</v>
      </c>
      <c r="B17" s="23" t="s">
        <v>83</v>
      </c>
      <c r="C17" s="24" t="s">
        <v>135</v>
      </c>
      <c r="D17" s="39"/>
      <c r="E17" s="41" t="str">
        <f t="shared" si="1"/>
        <v/>
      </c>
      <c r="F17" s="39"/>
      <c r="G17" s="42" t="str">
        <f t="shared" si="2"/>
        <v/>
      </c>
      <c r="H17" s="44" t="str">
        <f t="shared" si="3"/>
        <v/>
      </c>
      <c r="I17" s="39"/>
      <c r="K17" s="18" t="s">
        <v>137</v>
      </c>
      <c r="L17" s="21" t="s">
        <v>138</v>
      </c>
    </row>
    <row r="18" ht="45.75" customHeight="1">
      <c r="A18" s="49">
        <v>12.0</v>
      </c>
      <c r="B18" s="32" t="s">
        <v>83</v>
      </c>
      <c r="C18" s="29" t="s">
        <v>140</v>
      </c>
      <c r="D18" s="51"/>
      <c r="E18" s="52" t="str">
        <f t="shared" si="1"/>
        <v/>
      </c>
      <c r="F18" s="51"/>
      <c r="G18" s="53" t="str">
        <f t="shared" si="2"/>
        <v/>
      </c>
      <c r="H18" s="54" t="str">
        <f t="shared" si="3"/>
        <v/>
      </c>
      <c r="I18" s="5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M1"/>
    <mergeCell ref="A2:M2"/>
    <mergeCell ref="A3:M3"/>
    <mergeCell ref="A5:I5"/>
    <mergeCell ref="K5:M5"/>
    <mergeCell ref="K12:M12"/>
  </mergeCells>
  <dataValidations>
    <dataValidation type="list" allowBlank="1" sqref="D7:D18 F7:F18">
      <formula1>"0 — Ad hoc or manual,1 — Partly defined,2 — Documented but inconsistent,3 — System-supported and governed,4 — Measured and continuously improved"</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0"/>
    <col customWidth="1" min="2" max="2" width="14.0"/>
    <col customWidth="1" min="3" max="3" width="15.0"/>
    <col customWidth="1" min="4" max="4" width="14.0"/>
    <col customWidth="1" min="5" max="5" width="15.0"/>
    <col customWidth="1" min="6" max="6" width="10.0"/>
    <col customWidth="1" min="7" max="7" width="12.0"/>
    <col customWidth="1" min="8" max="8" width="58.0"/>
    <col customWidth="1" min="9" max="9" width="3.0"/>
    <col customWidth="1" min="10" max="10" width="12.0"/>
    <col customWidth="1" min="11" max="11" width="39.0"/>
    <col customWidth="1" min="12" max="13" width="4.0"/>
    <col customWidth="1" min="14" max="18" width="12.0"/>
    <col customWidth="1" min="19" max="23" width="8.63"/>
    <col customWidth="1" min="24" max="26" width="2.0"/>
  </cols>
  <sheetData>
    <row r="1" ht="27.75" customHeight="1">
      <c r="A1" s="1" t="s">
        <v>124</v>
      </c>
    </row>
    <row r="2" ht="24.0" customHeight="1">
      <c r="A2" s="2" t="s">
        <v>127</v>
      </c>
    </row>
    <row r="3" ht="33.75" customHeight="1">
      <c r="A3" s="3" t="s">
        <v>129</v>
      </c>
      <c r="B3" s="4"/>
      <c r="C3" s="4"/>
      <c r="D3" s="4"/>
      <c r="E3" s="4"/>
      <c r="F3" s="4"/>
      <c r="G3" s="4"/>
      <c r="H3" s="4"/>
      <c r="I3" s="4"/>
      <c r="J3" s="4"/>
      <c r="K3" s="4"/>
      <c r="L3" s="4"/>
      <c r="M3" s="4"/>
      <c r="N3" s="4"/>
      <c r="O3" s="4"/>
      <c r="P3" s="4"/>
      <c r="Q3" s="4"/>
      <c r="R3" s="4"/>
    </row>
    <row r="4" ht="9.75" customHeight="1"/>
    <row r="5">
      <c r="A5" s="5" t="s">
        <v>136</v>
      </c>
      <c r="B5" s="6"/>
      <c r="C5" s="6"/>
      <c r="D5" s="6"/>
      <c r="E5" s="6"/>
      <c r="F5" s="6"/>
      <c r="G5" s="6"/>
      <c r="H5" s="7"/>
      <c r="J5" s="5" t="s">
        <v>139</v>
      </c>
      <c r="K5" s="6"/>
      <c r="L5" s="6"/>
      <c r="M5" s="7"/>
      <c r="X5" s="50" t="s">
        <v>14</v>
      </c>
      <c r="Y5" s="50" t="s">
        <v>141</v>
      </c>
      <c r="Z5" s="50" t="s">
        <v>142</v>
      </c>
    </row>
    <row r="6" ht="31.5" customHeight="1">
      <c r="A6" s="9" t="s">
        <v>14</v>
      </c>
      <c r="B6" s="11" t="s">
        <v>143</v>
      </c>
      <c r="C6" s="11" t="s">
        <v>144</v>
      </c>
      <c r="D6" s="11" t="s">
        <v>145</v>
      </c>
      <c r="E6" s="11" t="s">
        <v>146</v>
      </c>
      <c r="F6" s="11" t="s">
        <v>31</v>
      </c>
      <c r="G6" s="11" t="s">
        <v>147</v>
      </c>
      <c r="H6" s="14" t="s">
        <v>148</v>
      </c>
      <c r="J6" s="9" t="s">
        <v>149</v>
      </c>
      <c r="K6" s="14" t="s">
        <v>14</v>
      </c>
      <c r="X6" s="50" t="s">
        <v>38</v>
      </c>
      <c r="Y6" s="55" t="str">
        <f t="shared" ref="Y6:Y11" si="1">B7</f>
        <v/>
      </c>
      <c r="Z6" s="55" t="str">
        <f t="shared" ref="Z6:Z11" si="2">D7</f>
        <v/>
      </c>
    </row>
    <row r="7" ht="54.0" customHeight="1">
      <c r="A7" s="56" t="s">
        <v>38</v>
      </c>
      <c r="B7" s="57" t="str">
        <f>IF(COUNTA('Quick assessment'!D7:D8)=2,AVERAGE('Quick assessment'!E7:E8),"")</f>
        <v/>
      </c>
      <c r="C7" s="58" t="str">
        <f t="shared" ref="C7:C12" si="3">IF(B7="","",IF(B7&lt;0.8,"Reactive",IF(B7&lt;1.6,"Emerging",IF(B7&lt;2.4,"Established",IF(B7&lt;3.2,"Advanced","Intelligent")))))</f>
        <v/>
      </c>
      <c r="D7" s="59" t="str">
        <f>IF(COUNTA('Quick assessment'!F7:F8)=2,AVERAGE('Quick assessment'!G7:G8),"")</f>
        <v/>
      </c>
      <c r="E7" s="58" t="str">
        <f t="shared" ref="E7:E12" si="4">IF(D7="","",IF(D7&lt;0.8,"Reactive",IF(D7&lt;1.6,"Emerging",IF(D7&lt;2.4,"Established",IF(D7&lt;3.2,"Advanced","Intelligent")))))</f>
        <v/>
      </c>
      <c r="F7" s="59" t="str">
        <f t="shared" ref="F7:F12" si="5">IF(OR(B7="",D7=""),"",D7-B7)</f>
        <v/>
      </c>
      <c r="G7" s="62" t="str">
        <f>IF(COUNTIF('Quick assessment'!D7:D18,"&lt;&gt;")&lt;&gt;12,"",1+COUNTIF($B$7:$B$12,"&lt;"&amp;B7)+COUNTIF($B$7:B7,B7)-1)</f>
        <v/>
      </c>
      <c r="H7" s="36" t="str">
        <f>IF(C7="","",IF(C7="Reactive","Assign source ownership and define a minimum price-source register covering list, cost, floor and currency.",IF(C7="Emerging","Document and standardise source hierarchy, versioning and effective-date rules.",IF(C7="Established","Enforce source and version validation in the quote process and capture source exceptions.",IF(C7="Advanced","Measure stale, missing and conflicting source incidents and establish a review feedback loop.","Monitor source drift and continuously refine ownership, freshness thresholds and source controls.")))))</f>
        <v/>
      </c>
      <c r="J7" s="68">
        <v>1.0</v>
      </c>
      <c r="K7" s="36" t="str">
        <f t="array" ref="K7">IF(COUNTIF('Quick assessment'!D7:D18,"&lt;&gt;")&lt;&gt;12,"",INDEX($A$7:$A$12,MATCH(1,$G$7:$G$12,0)))</f>
        <v/>
      </c>
      <c r="X7" s="50" t="s">
        <v>48</v>
      </c>
      <c r="Y7" s="55" t="str">
        <f t="shared" si="1"/>
        <v/>
      </c>
      <c r="Z7" s="55" t="str">
        <f t="shared" si="2"/>
        <v/>
      </c>
    </row>
    <row r="8" ht="54.0" customHeight="1">
      <c r="A8" s="73" t="s">
        <v>48</v>
      </c>
      <c r="B8" s="79" t="str">
        <f>IF(COUNTA('Quick assessment'!D9:D10)=2,AVERAGE('Quick assessment'!E9:E10),"")</f>
        <v/>
      </c>
      <c r="C8" s="80" t="str">
        <f t="shared" si="3"/>
        <v/>
      </c>
      <c r="D8" s="82" t="str">
        <f>IF(COUNTA('Quick assessment'!F9:F10)=2,AVERAGE('Quick assessment'!G9:G10),"")</f>
        <v/>
      </c>
      <c r="E8" s="80" t="str">
        <f t="shared" si="4"/>
        <v/>
      </c>
      <c r="F8" s="82" t="str">
        <f t="shared" si="5"/>
        <v/>
      </c>
      <c r="G8" s="90" t="str">
        <f>IF(COUNTIF('Quick assessment'!D7:D18,"&lt;&gt;")&lt;&gt;12,"",1+COUNTIF($B$7:$B$12,"&lt;"&amp;B8)+COUNTIF($B$7:B8,B8)-1)</f>
        <v/>
      </c>
      <c r="H8" s="46" t="str">
        <f>IF(C8="","",IF(C8="Reactive","Define ownership and a repeatable minimum control for recording active customer-specific and contracted prices.",IF(C8="Emerging","Document and standardise agreement applicability, effective dates and deviation calculation rules.",IF(C8="Established","Enforce agreement selection and deviation visibility systematically and capture exceptions.",IF(C8="Advanced","Measure agreement misses and deviations and establish a pricing review feedback loop.","Monitor agreement drift and continuously refine applicability, renewal and deviation controls.")))))</f>
        <v/>
      </c>
      <c r="J8" s="91">
        <v>2.0</v>
      </c>
      <c r="K8" s="48" t="str">
        <f t="array" ref="K8">IF(COUNTIF('Quick assessment'!D7:D18,"&lt;&gt;")&lt;&gt;12,"",INDEX($A$7:$A$12,MATCH(2,$G$7:$G$12,0)))</f>
        <v/>
      </c>
      <c r="X8" s="50" t="s">
        <v>57</v>
      </c>
      <c r="Y8" s="55" t="str">
        <f t="shared" si="1"/>
        <v/>
      </c>
      <c r="Z8" s="55" t="str">
        <f t="shared" si="2"/>
        <v/>
      </c>
    </row>
    <row r="9" ht="54.0" customHeight="1">
      <c r="A9" s="73" t="s">
        <v>57</v>
      </c>
      <c r="B9" s="79" t="str">
        <f>IF(COUNTA('Quick assessment'!D11:D12)=2,AVERAGE('Quick assessment'!E11:E12),"")</f>
        <v/>
      </c>
      <c r="C9" s="80" t="str">
        <f t="shared" si="3"/>
        <v/>
      </c>
      <c r="D9" s="82" t="str">
        <f>IF(COUNTA('Quick assessment'!F11:F12)=2,AVERAGE('Quick assessment'!G11:G12),"")</f>
        <v/>
      </c>
      <c r="E9" s="80" t="str">
        <f t="shared" si="4"/>
        <v/>
      </c>
      <c r="F9" s="82" t="str">
        <f t="shared" si="5"/>
        <v/>
      </c>
      <c r="G9" s="90" t="str">
        <f>IF(COUNTIF('Quick assessment'!D7:D18,"&lt;&gt;")&lt;&gt;12,"",1+COUNTIF($B$7:$B$12,"&lt;"&amp;B9)+COUNTIF($B$7:B9,B9)-1)</f>
        <v/>
      </c>
      <c r="H9" s="46" t="str">
        <f>IF(C9="","",IF(C9="Reactive","Define ownership and a repeatable minimum calculation specification for discounts, margin, rebates and incentives.",IF(C9="Emerging","Document and standardise commercial calculation logic across sales, pricing and finance.",IF(C9="Established","Enforce shared calculation logic systematically and capture calculation exceptions.",IF(C9="Advanced","Measure calculation variance and deal-economics outcomes and establish a feedback loop.","Monitor calculation drift and continuously refine measures, assumptions and control thresholds.")))))</f>
        <v/>
      </c>
      <c r="X9" s="50" t="s">
        <v>65</v>
      </c>
      <c r="Y9" s="55" t="str">
        <f t="shared" si="1"/>
        <v/>
      </c>
      <c r="Z9" s="55" t="str">
        <f t="shared" si="2"/>
        <v/>
      </c>
    </row>
    <row r="10" ht="54.0" customHeight="1">
      <c r="A10" s="73" t="s">
        <v>65</v>
      </c>
      <c r="B10" s="79" t="str">
        <f>IF(COUNTA('Quick assessment'!D13:D14)=2,AVERAGE('Quick assessment'!E13:E14),"")</f>
        <v/>
      </c>
      <c r="C10" s="80" t="str">
        <f t="shared" si="3"/>
        <v/>
      </c>
      <c r="D10" s="82" t="str">
        <f>IF(COUNTA('Quick assessment'!F13:F14)=2,AVERAGE('Quick assessment'!G13:G14),"")</f>
        <v/>
      </c>
      <c r="E10" s="80" t="str">
        <f t="shared" si="4"/>
        <v/>
      </c>
      <c r="F10" s="82" t="str">
        <f t="shared" si="5"/>
        <v/>
      </c>
      <c r="G10" s="90" t="str">
        <f>IF(COUNTIF('Quick assessment'!D7:D18,"&lt;&gt;")&lt;&gt;12,"",1+COUNTIF($B$7:$B$12,"&lt;"&amp;B10)+COUNTIF($B$7:B10,B10)-1)</f>
        <v/>
      </c>
      <c r="H10" s="46" t="str">
        <f>IF(C10="","",IF(C10="Reactive","Define ownership and a repeatable minimum control for applying the correct price and recording overrides.",IF(C10="Emerging","Document and standardise price-application and manual-override rules.",IF(C10="Established","Enforce price application and override capture systematically in the quote process.",IF(C10="Advanced","Measure override frequency and price-application exceptions and establish a review feedback loop.","Monitor execution drift and continuously refine override thresholds and price-application controls.")))))</f>
        <v/>
      </c>
      <c r="J10" s="5" t="s">
        <v>251</v>
      </c>
      <c r="K10" s="6"/>
      <c r="L10" s="6"/>
      <c r="M10" s="7"/>
      <c r="X10" s="50" t="s">
        <v>74</v>
      </c>
      <c r="Y10" s="55" t="str">
        <f t="shared" si="1"/>
        <v/>
      </c>
      <c r="Z10" s="55" t="str">
        <f t="shared" si="2"/>
        <v/>
      </c>
    </row>
    <row r="11" ht="54.0" customHeight="1">
      <c r="A11" s="73" t="s">
        <v>74</v>
      </c>
      <c r="B11" s="79" t="str">
        <f>IF(COUNTA('Quick assessment'!D15:D16)=2,AVERAGE('Quick assessment'!E15:E16),"")</f>
        <v/>
      </c>
      <c r="C11" s="80" t="str">
        <f t="shared" si="3"/>
        <v/>
      </c>
      <c r="D11" s="82" t="str">
        <f>IF(COUNTA('Quick assessment'!F15:F16)=2,AVERAGE('Quick assessment'!G15:G16),"")</f>
        <v/>
      </c>
      <c r="E11" s="80" t="str">
        <f t="shared" si="4"/>
        <v/>
      </c>
      <c r="F11" s="82" t="str">
        <f t="shared" si="5"/>
        <v/>
      </c>
      <c r="G11" s="90" t="str">
        <f>IF(COUNTIF('Quick assessment'!D7:D18,"&lt;&gt;")&lt;&gt;12,"",1+COUNTIF($B$7:$B$12,"&lt;"&amp;B11)+COUNTIF($B$7:B11,B11)-1)</f>
        <v/>
      </c>
      <c r="H11" s="46" t="str">
        <f>IF(C11="","",IF(C11="Reactive","Define ownership, approval triggers and a repeatable minimum approval-authority control.",IF(C11="Emerging","Document and standardise approval conditions, authority and routing.",IF(C11="Established","Enforce approval logic systematically and capture approval and reapproval exceptions.",IF(C11="Advanced","Measure approval outcomes, delays and exception patterns and establish a feedback loop.","Monitor governance drift and continuously refine triggers, authority and routing controls.")))))</f>
        <v/>
      </c>
      <c r="J11" s="101" t="s">
        <v>257</v>
      </c>
      <c r="K11" s="83"/>
      <c r="L11" s="83"/>
      <c r="M11" s="84"/>
      <c r="X11" s="50" t="s">
        <v>83</v>
      </c>
      <c r="Y11" s="55" t="str">
        <f t="shared" si="1"/>
        <v/>
      </c>
      <c r="Z11" s="55" t="str">
        <f t="shared" si="2"/>
        <v/>
      </c>
    </row>
    <row r="12" ht="54.0" customHeight="1">
      <c r="A12" s="103" t="s">
        <v>83</v>
      </c>
      <c r="B12" s="104" t="str">
        <f>IF(COUNTA('Quick assessment'!D17:D18)=2,AVERAGE('Quick assessment'!E17:E18),"")</f>
        <v/>
      </c>
      <c r="C12" s="105" t="str">
        <f t="shared" si="3"/>
        <v/>
      </c>
      <c r="D12" s="106" t="str">
        <f>IF(COUNTA('Quick assessment'!F17:F18)=2,AVERAGE('Quick assessment'!G17:G18),"")</f>
        <v/>
      </c>
      <c r="E12" s="105" t="str">
        <f t="shared" si="4"/>
        <v/>
      </c>
      <c r="F12" s="106" t="str">
        <f t="shared" si="5"/>
        <v/>
      </c>
      <c r="G12" s="107" t="str">
        <f>IF(COUNTIF('Quick assessment'!D7:D18,"&lt;&gt;")&lt;&gt;12,"",1+COUNTIF($B$7:$B$12,"&lt;"&amp;B12)+COUNTIF($B$7:B12,B12)-1)</f>
        <v/>
      </c>
      <c r="H12" s="48" t="str">
        <f>IF(C12="","",IF(C12="Reactive","Define ownership and a repeatable minimum decision trace for source values, calculations, rules and approvals.",IF(C12="Emerging","Document and standardise traceability requirements and recurring exception reporting.",IF(C12="Established","Enforce decision-trace capture systematically and retain reconstructable exception evidence.",IF(C12="Advanced","Measure recurring exceptions, leakage and control gaps and establish a management feedback loop.","Monitor traceability and leakage drift and continuously refine evidence, reporting and review controls.")))))</f>
        <v/>
      </c>
      <c r="J12" s="87"/>
      <c r="K12" s="4"/>
      <c r="L12" s="4"/>
      <c r="M12" s="8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R1"/>
    <mergeCell ref="A2:R2"/>
    <mergeCell ref="A3:R3"/>
    <mergeCell ref="A5:H5"/>
    <mergeCell ref="J5:M5"/>
    <mergeCell ref="J10:M10"/>
    <mergeCell ref="J11:M1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0"/>
    <col customWidth="1" min="2" max="3" width="39.0"/>
    <col customWidth="1" min="4" max="6" width="42.0"/>
    <col customWidth="1" min="7" max="7" width="40.0"/>
    <col customWidth="1" min="8" max="26" width="8.63"/>
  </cols>
  <sheetData>
    <row r="1" ht="27.75" customHeight="1">
      <c r="A1" s="1" t="s">
        <v>4</v>
      </c>
    </row>
    <row r="2" ht="24.0" customHeight="1">
      <c r="A2" s="2" t="s">
        <v>7</v>
      </c>
    </row>
    <row r="3" ht="33.75" customHeight="1">
      <c r="A3" s="3" t="s">
        <v>8</v>
      </c>
      <c r="B3" s="4"/>
      <c r="C3" s="4"/>
      <c r="D3" s="4"/>
      <c r="E3" s="4"/>
      <c r="F3" s="4"/>
      <c r="G3" s="4"/>
    </row>
    <row r="4" ht="9.75" customHeight="1"/>
    <row r="5">
      <c r="A5" s="5" t="s">
        <v>9</v>
      </c>
      <c r="B5" s="6"/>
      <c r="C5" s="6"/>
      <c r="D5" s="6"/>
      <c r="E5" s="6"/>
      <c r="F5" s="6"/>
      <c r="G5" s="7"/>
    </row>
    <row r="6" ht="33.75" customHeight="1">
      <c r="A6" s="9" t="s">
        <v>14</v>
      </c>
      <c r="B6" s="11" t="s">
        <v>17</v>
      </c>
      <c r="C6" s="11" t="s">
        <v>19</v>
      </c>
      <c r="D6" s="11" t="s">
        <v>21</v>
      </c>
      <c r="E6" s="11" t="s">
        <v>23</v>
      </c>
      <c r="F6" s="11" t="s">
        <v>25</v>
      </c>
      <c r="G6" s="14" t="s">
        <v>28</v>
      </c>
    </row>
    <row r="7" ht="108.0" customHeight="1">
      <c r="A7" s="15" t="s">
        <v>38</v>
      </c>
      <c r="B7" s="16" t="s">
        <v>41</v>
      </c>
      <c r="C7" s="16" t="s">
        <v>42</v>
      </c>
      <c r="D7" s="16" t="s">
        <v>43</v>
      </c>
      <c r="E7" s="16" t="s">
        <v>44</v>
      </c>
      <c r="F7" s="16" t="s">
        <v>45</v>
      </c>
      <c r="G7" s="19" t="s">
        <v>46</v>
      </c>
    </row>
    <row r="8" ht="108.0" customHeight="1">
      <c r="A8" s="22" t="s">
        <v>48</v>
      </c>
      <c r="B8" s="23" t="s">
        <v>50</v>
      </c>
      <c r="C8" s="23" t="s">
        <v>52</v>
      </c>
      <c r="D8" s="23" t="s">
        <v>53</v>
      </c>
      <c r="E8" s="23" t="s">
        <v>54</v>
      </c>
      <c r="F8" s="23" t="s">
        <v>55</v>
      </c>
      <c r="G8" s="24" t="s">
        <v>56</v>
      </c>
    </row>
    <row r="9" ht="108.0" customHeight="1">
      <c r="A9" s="22" t="s">
        <v>57</v>
      </c>
      <c r="B9" s="23" t="s">
        <v>58</v>
      </c>
      <c r="C9" s="23" t="s">
        <v>59</v>
      </c>
      <c r="D9" s="23" t="s">
        <v>60</v>
      </c>
      <c r="E9" s="23" t="s">
        <v>61</v>
      </c>
      <c r="F9" s="23" t="s">
        <v>62</v>
      </c>
      <c r="G9" s="24" t="s">
        <v>64</v>
      </c>
    </row>
    <row r="10" ht="108.0" customHeight="1">
      <c r="A10" s="22" t="s">
        <v>65</v>
      </c>
      <c r="B10" s="23" t="s">
        <v>66</v>
      </c>
      <c r="C10" s="23" t="s">
        <v>67</v>
      </c>
      <c r="D10" s="23" t="s">
        <v>68</v>
      </c>
      <c r="E10" s="23" t="s">
        <v>70</v>
      </c>
      <c r="F10" s="23" t="s">
        <v>71</v>
      </c>
      <c r="G10" s="24" t="s">
        <v>72</v>
      </c>
    </row>
    <row r="11" ht="108.0" customHeight="1">
      <c r="A11" s="22" t="s">
        <v>74</v>
      </c>
      <c r="B11" s="23" t="s">
        <v>75</v>
      </c>
      <c r="C11" s="23" t="s">
        <v>76</v>
      </c>
      <c r="D11" s="23" t="s">
        <v>77</v>
      </c>
      <c r="E11" s="23" t="s">
        <v>79</v>
      </c>
      <c r="F11" s="23" t="s">
        <v>80</v>
      </c>
      <c r="G11" s="24" t="s">
        <v>81</v>
      </c>
    </row>
    <row r="12" ht="108.0" customHeight="1">
      <c r="A12" s="30" t="s">
        <v>83</v>
      </c>
      <c r="B12" s="32" t="s">
        <v>84</v>
      </c>
      <c r="C12" s="32" t="s">
        <v>85</v>
      </c>
      <c r="D12" s="32" t="s">
        <v>86</v>
      </c>
      <c r="E12" s="32" t="s">
        <v>87</v>
      </c>
      <c r="F12" s="32" t="s">
        <v>89</v>
      </c>
      <c r="G12" s="29" t="s">
        <v>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G1"/>
    <mergeCell ref="A2:G2"/>
    <mergeCell ref="A3:G3"/>
    <mergeCell ref="A5:G5"/>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34.0"/>
    <col customWidth="1" min="3" max="4" width="15.0"/>
    <col customWidth="1" min="5" max="5" width="10.0"/>
    <col customWidth="1" min="6" max="6" width="58.0"/>
    <col customWidth="1" min="7" max="7" width="45.0"/>
    <col customWidth="1" min="8" max="8" width="22.0"/>
    <col customWidth="1" min="9" max="9" width="16.0"/>
    <col customWidth="1" min="10" max="10" width="18.0"/>
    <col customWidth="1" min="11" max="11" width="35.0"/>
    <col customWidth="1" min="12" max="12" width="36.0"/>
    <col customWidth="1" min="13" max="26" width="8.63"/>
  </cols>
  <sheetData>
    <row r="1" ht="27.75" customHeight="1">
      <c r="A1" s="1" t="s">
        <v>150</v>
      </c>
    </row>
    <row r="2" ht="24.0" customHeight="1">
      <c r="A2" s="2" t="s">
        <v>151</v>
      </c>
    </row>
    <row r="3" ht="33.75" customHeight="1">
      <c r="A3" s="3" t="s">
        <v>152</v>
      </c>
      <c r="B3" s="4"/>
      <c r="C3" s="4"/>
      <c r="D3" s="4"/>
      <c r="E3" s="4"/>
      <c r="F3" s="4"/>
      <c r="G3" s="4"/>
      <c r="H3" s="4"/>
      <c r="I3" s="4"/>
      <c r="J3" s="4"/>
      <c r="K3" s="4"/>
      <c r="L3" s="4"/>
    </row>
    <row r="4" ht="9.75" customHeight="1"/>
    <row r="5">
      <c r="A5" s="5" t="s">
        <v>153</v>
      </c>
      <c r="B5" s="6"/>
      <c r="C5" s="6"/>
      <c r="D5" s="6"/>
      <c r="E5" s="6"/>
      <c r="F5" s="6"/>
      <c r="G5" s="6"/>
      <c r="H5" s="6"/>
      <c r="I5" s="6"/>
      <c r="J5" s="6"/>
      <c r="K5" s="6"/>
      <c r="L5" s="7"/>
    </row>
    <row r="6" ht="33.75" customHeight="1">
      <c r="A6" s="9" t="s">
        <v>149</v>
      </c>
      <c r="B6" s="11" t="s">
        <v>14</v>
      </c>
      <c r="C6" s="11" t="s">
        <v>144</v>
      </c>
      <c r="D6" s="11" t="s">
        <v>146</v>
      </c>
      <c r="E6" s="11" t="s">
        <v>31</v>
      </c>
      <c r="F6" s="11" t="s">
        <v>148</v>
      </c>
      <c r="G6" s="11" t="s">
        <v>154</v>
      </c>
      <c r="H6" s="11" t="s">
        <v>155</v>
      </c>
      <c r="I6" s="11" t="s">
        <v>156</v>
      </c>
      <c r="J6" s="11" t="s">
        <v>157</v>
      </c>
      <c r="K6" s="11" t="s">
        <v>158</v>
      </c>
      <c r="L6" s="14" t="s">
        <v>159</v>
      </c>
    </row>
    <row r="7" ht="60.0" customHeight="1">
      <c r="A7" s="60" t="str">
        <f>IF('Maturity profile'!G7="","",'Maturity profile'!G7)</f>
        <v/>
      </c>
      <c r="B7" s="61" t="s">
        <v>38</v>
      </c>
      <c r="C7" s="61" t="str">
        <f>IF('Maturity profile'!C7="","",'Maturity profile'!C7)</f>
        <v/>
      </c>
      <c r="D7" s="61" t="str">
        <f>IF('Maturity profile'!E7="","",'Maturity profile'!E7)</f>
        <v/>
      </c>
      <c r="E7" s="63" t="str">
        <f>IF('Maturity profile'!F7="","",'Maturity profile'!F7)</f>
        <v/>
      </c>
      <c r="F7" s="64" t="str">
        <f>IF('Maturity profile'!H7="","",'Maturity profile'!H7)</f>
        <v/>
      </c>
      <c r="G7" s="65"/>
      <c r="H7" s="66"/>
      <c r="I7" s="67"/>
      <c r="J7" s="66"/>
      <c r="K7" s="66"/>
      <c r="L7" s="69"/>
    </row>
    <row r="8" ht="60.0" customHeight="1">
      <c r="A8" s="70" t="str">
        <f>IF('Maturity profile'!G8="","",'Maturity profile'!G8)</f>
        <v/>
      </c>
      <c r="B8" s="71" t="s">
        <v>48</v>
      </c>
      <c r="C8" s="71" t="str">
        <f>IF('Maturity profile'!C8="","",'Maturity profile'!C8)</f>
        <v/>
      </c>
      <c r="D8" s="71" t="str">
        <f>IF('Maturity profile'!E8="","",'Maturity profile'!E8)</f>
        <v/>
      </c>
      <c r="E8" s="72" t="str">
        <f>IF('Maturity profile'!F8="","",'Maturity profile'!F8)</f>
        <v/>
      </c>
      <c r="F8" s="74" t="str">
        <f>IF('Maturity profile'!H8="","",'Maturity profile'!H8)</f>
        <v/>
      </c>
      <c r="G8" s="75"/>
      <c r="H8" s="76"/>
      <c r="I8" s="77"/>
      <c r="J8" s="76"/>
      <c r="K8" s="76"/>
      <c r="L8" s="78"/>
    </row>
    <row r="9" ht="60.0" customHeight="1">
      <c r="A9" s="70" t="str">
        <f>IF('Maturity profile'!G9="","",'Maturity profile'!G9)</f>
        <v/>
      </c>
      <c r="B9" s="71" t="s">
        <v>57</v>
      </c>
      <c r="C9" s="71" t="str">
        <f>IF('Maturity profile'!C9="","",'Maturity profile'!C9)</f>
        <v/>
      </c>
      <c r="D9" s="71" t="str">
        <f>IF('Maturity profile'!E9="","",'Maturity profile'!E9)</f>
        <v/>
      </c>
      <c r="E9" s="72" t="str">
        <f>IF('Maturity profile'!F9="","",'Maturity profile'!F9)</f>
        <v/>
      </c>
      <c r="F9" s="74" t="str">
        <f>IF('Maturity profile'!H9="","",'Maturity profile'!H9)</f>
        <v/>
      </c>
      <c r="G9" s="75"/>
      <c r="H9" s="76"/>
      <c r="I9" s="77"/>
      <c r="J9" s="76"/>
      <c r="K9" s="76"/>
      <c r="L9" s="78"/>
    </row>
    <row r="10" ht="60.0" customHeight="1">
      <c r="A10" s="70" t="str">
        <f>IF('Maturity profile'!G10="","",'Maturity profile'!G10)</f>
        <v/>
      </c>
      <c r="B10" s="71" t="s">
        <v>65</v>
      </c>
      <c r="C10" s="71" t="str">
        <f>IF('Maturity profile'!C10="","",'Maturity profile'!C10)</f>
        <v/>
      </c>
      <c r="D10" s="71" t="str">
        <f>IF('Maturity profile'!E10="","",'Maturity profile'!E10)</f>
        <v/>
      </c>
      <c r="E10" s="72" t="str">
        <f>IF('Maturity profile'!F10="","",'Maturity profile'!F10)</f>
        <v/>
      </c>
      <c r="F10" s="74" t="str">
        <f>IF('Maturity profile'!H10="","",'Maturity profile'!H10)</f>
        <v/>
      </c>
      <c r="G10" s="75"/>
      <c r="H10" s="76"/>
      <c r="I10" s="77"/>
      <c r="J10" s="76"/>
      <c r="K10" s="76"/>
      <c r="L10" s="78"/>
    </row>
    <row r="11" ht="60.0" customHeight="1">
      <c r="A11" s="70" t="str">
        <f>IF('Maturity profile'!G11="","",'Maturity profile'!G11)</f>
        <v/>
      </c>
      <c r="B11" s="71" t="s">
        <v>74</v>
      </c>
      <c r="C11" s="71" t="str">
        <f>IF('Maturity profile'!C11="","",'Maturity profile'!C11)</f>
        <v/>
      </c>
      <c r="D11" s="71" t="str">
        <f>IF('Maturity profile'!E11="","",'Maturity profile'!E11)</f>
        <v/>
      </c>
      <c r="E11" s="72" t="str">
        <f>IF('Maturity profile'!F11="","",'Maturity profile'!F11)</f>
        <v/>
      </c>
      <c r="F11" s="74" t="str">
        <f>IF('Maturity profile'!H11="","",'Maturity profile'!H11)</f>
        <v/>
      </c>
      <c r="G11" s="75"/>
      <c r="H11" s="76"/>
      <c r="I11" s="77"/>
      <c r="J11" s="76"/>
      <c r="K11" s="76"/>
      <c r="L11" s="78"/>
    </row>
    <row r="12" ht="60.0" customHeight="1">
      <c r="A12" s="93" t="str">
        <f>IF('Maturity profile'!G12="","",'Maturity profile'!G12)</f>
        <v/>
      </c>
      <c r="B12" s="94" t="s">
        <v>83</v>
      </c>
      <c r="C12" s="94" t="str">
        <f>IF('Maturity profile'!C12="","",'Maturity profile'!C12)</f>
        <v/>
      </c>
      <c r="D12" s="94" t="str">
        <f>IF('Maturity profile'!E12="","",'Maturity profile'!E12)</f>
        <v/>
      </c>
      <c r="E12" s="95" t="str">
        <f>IF('Maturity profile'!F12="","",'Maturity profile'!F12)</f>
        <v/>
      </c>
      <c r="F12" s="96" t="str">
        <f>IF('Maturity profile'!H12="","",'Maturity profile'!H12)</f>
        <v/>
      </c>
      <c r="G12" s="97"/>
      <c r="H12" s="98"/>
      <c r="I12" s="99"/>
      <c r="J12" s="98"/>
      <c r="K12" s="98"/>
      <c r="L12" s="100"/>
    </row>
    <row r="14">
      <c r="A14" s="5" t="s">
        <v>187</v>
      </c>
      <c r="B14" s="6"/>
      <c r="C14" s="6"/>
      <c r="D14" s="6"/>
      <c r="E14" s="6"/>
      <c r="F14" s="6"/>
      <c r="G14" s="6"/>
      <c r="H14" s="6"/>
      <c r="I14" s="6"/>
      <c r="J14" s="6"/>
      <c r="K14" s="6"/>
      <c r="L14" s="7"/>
    </row>
    <row r="15" ht="30.0" customHeight="1">
      <c r="A15" s="101" t="s">
        <v>189</v>
      </c>
      <c r="B15" s="83"/>
      <c r="C15" s="83"/>
      <c r="D15" s="83"/>
      <c r="E15" s="83"/>
      <c r="F15" s="83"/>
      <c r="G15" s="83"/>
      <c r="H15" s="83"/>
      <c r="I15" s="83"/>
      <c r="J15" s="83"/>
      <c r="K15" s="83"/>
      <c r="L15" s="84"/>
    </row>
    <row r="16" ht="30.0" customHeight="1">
      <c r="A16" s="85"/>
      <c r="L16" s="86"/>
    </row>
    <row r="17" ht="30.0" customHeight="1">
      <c r="A17" s="87"/>
      <c r="B17" s="4"/>
      <c r="C17" s="4"/>
      <c r="D17" s="4"/>
      <c r="E17" s="4"/>
      <c r="F17" s="4"/>
      <c r="G17" s="4"/>
      <c r="H17" s="4"/>
      <c r="I17" s="4"/>
      <c r="J17" s="4"/>
      <c r="K17" s="4"/>
      <c r="L17" s="8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L1"/>
    <mergeCell ref="A2:L2"/>
    <mergeCell ref="A3:L3"/>
    <mergeCell ref="A5:L5"/>
    <mergeCell ref="A14:L14"/>
    <mergeCell ref="A15:L17"/>
  </mergeCells>
  <dataValidations>
    <dataValidation type="list" allowBlank="1" sqref="J7:J12">
      <formula1>"Not started,Planned,In progress,Blocked,Complete,Not applicable"</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0"/>
    <col customWidth="1" min="2" max="2" width="45.0"/>
    <col customWidth="1" min="3" max="3" width="68.0"/>
    <col customWidth="1" min="4" max="4" width="72.0"/>
    <col customWidth="1" min="5" max="26" width="8.63"/>
  </cols>
  <sheetData>
    <row r="1" ht="27.75" customHeight="1">
      <c r="A1" s="1" t="s">
        <v>160</v>
      </c>
    </row>
    <row r="2" ht="24.0" customHeight="1">
      <c r="A2" s="2" t="s">
        <v>161</v>
      </c>
    </row>
    <row r="3" ht="33.75" customHeight="1">
      <c r="A3" s="3" t="s">
        <v>162</v>
      </c>
      <c r="B3" s="4"/>
      <c r="C3" s="4"/>
      <c r="D3" s="4"/>
    </row>
    <row r="4" ht="9.75" customHeight="1"/>
    <row r="5">
      <c r="A5" s="5" t="s">
        <v>163</v>
      </c>
      <c r="B5" s="6"/>
      <c r="C5" s="6"/>
      <c r="D5" s="7"/>
    </row>
    <row r="6" ht="33.75" customHeight="1">
      <c r="A6" s="9" t="s">
        <v>164</v>
      </c>
      <c r="B6" s="11" t="s">
        <v>165</v>
      </c>
      <c r="C6" s="11" t="s">
        <v>166</v>
      </c>
      <c r="D6" s="14" t="s">
        <v>167</v>
      </c>
    </row>
    <row r="7" ht="81.75" customHeight="1">
      <c r="A7" s="17" t="s">
        <v>38</v>
      </c>
      <c r="B7" s="16" t="s">
        <v>168</v>
      </c>
      <c r="C7" s="16" t="s">
        <v>169</v>
      </c>
      <c r="D7" s="19" t="s">
        <v>170</v>
      </c>
    </row>
    <row r="8" ht="81.75" customHeight="1">
      <c r="A8" s="37" t="s">
        <v>48</v>
      </c>
      <c r="B8" s="23" t="s">
        <v>171</v>
      </c>
      <c r="C8" s="23" t="s">
        <v>172</v>
      </c>
      <c r="D8" s="24" t="s">
        <v>173</v>
      </c>
    </row>
    <row r="9" ht="81.75" customHeight="1">
      <c r="A9" s="37" t="s">
        <v>57</v>
      </c>
      <c r="B9" s="23" t="s">
        <v>174</v>
      </c>
      <c r="C9" s="23" t="s">
        <v>175</v>
      </c>
      <c r="D9" s="24" t="s">
        <v>176</v>
      </c>
    </row>
    <row r="10" ht="81.75" customHeight="1">
      <c r="A10" s="37" t="s">
        <v>65</v>
      </c>
      <c r="B10" s="23" t="s">
        <v>177</v>
      </c>
      <c r="C10" s="23" t="s">
        <v>178</v>
      </c>
      <c r="D10" s="24" t="s">
        <v>179</v>
      </c>
    </row>
    <row r="11" ht="81.75" customHeight="1">
      <c r="A11" s="37" t="s">
        <v>74</v>
      </c>
      <c r="B11" s="23" t="s">
        <v>180</v>
      </c>
      <c r="C11" s="23" t="s">
        <v>181</v>
      </c>
      <c r="D11" s="24" t="s">
        <v>182</v>
      </c>
    </row>
    <row r="12" ht="81.75" customHeight="1">
      <c r="A12" s="49" t="s">
        <v>83</v>
      </c>
      <c r="B12" s="32" t="s">
        <v>183</v>
      </c>
      <c r="C12" s="32" t="s">
        <v>184</v>
      </c>
      <c r="D12" s="29" t="s">
        <v>185</v>
      </c>
    </row>
    <row r="14" ht="30.0" customHeight="1">
      <c r="A14" s="81" t="s">
        <v>186</v>
      </c>
      <c r="B14" s="83"/>
      <c r="C14" s="83"/>
      <c r="D14" s="84"/>
    </row>
    <row r="15" ht="30.0" customHeight="1">
      <c r="A15" s="85"/>
      <c r="D15" s="86"/>
    </row>
    <row r="16" ht="30.0" customHeight="1">
      <c r="A16" s="87"/>
      <c r="B16" s="4"/>
      <c r="C16" s="4"/>
      <c r="D16" s="88"/>
    </row>
    <row r="18">
      <c r="A18" s="89" t="s">
        <v>94</v>
      </c>
      <c r="B18" s="92" t="s">
        <v>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D1"/>
    <mergeCell ref="A2:D2"/>
    <mergeCell ref="A3:D3"/>
    <mergeCell ref="A5:D5"/>
    <mergeCell ref="A14:D16"/>
  </mergeCells>
  <hyperlinks>
    <hyperlink r:id="rId1" ref="B18"/>
  </hyperlinks>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0"/>
    <col customWidth="1" min="2" max="2" width="44.0"/>
    <col customWidth="1" min="3" max="3" width="60.0"/>
    <col customWidth="1" min="4" max="4" width="47.0"/>
    <col customWidth="1" min="5" max="5" width="54.0"/>
    <col customWidth="1" min="6" max="26" width="8.63"/>
  </cols>
  <sheetData>
    <row r="1" ht="27.75" customHeight="1">
      <c r="A1" s="1" t="s">
        <v>188</v>
      </c>
    </row>
    <row r="2" ht="24.0" customHeight="1">
      <c r="A2" s="2" t="s">
        <v>190</v>
      </c>
    </row>
    <row r="3" ht="33.75" customHeight="1">
      <c r="A3" s="3" t="s">
        <v>191</v>
      </c>
      <c r="B3" s="4"/>
      <c r="C3" s="4"/>
      <c r="D3" s="4"/>
      <c r="E3" s="4"/>
    </row>
    <row r="4" ht="9.75" customHeight="1"/>
    <row r="5">
      <c r="A5" s="5" t="s">
        <v>192</v>
      </c>
      <c r="B5" s="6"/>
      <c r="C5" s="6"/>
      <c r="D5" s="6"/>
      <c r="E5" s="7"/>
    </row>
    <row r="6" ht="33.75" customHeight="1">
      <c r="A6" s="9" t="s">
        <v>193</v>
      </c>
      <c r="B6" s="11" t="s">
        <v>194</v>
      </c>
      <c r="C6" s="11" t="s">
        <v>195</v>
      </c>
      <c r="D6" s="11" t="s">
        <v>196</v>
      </c>
      <c r="E6" s="14" t="s">
        <v>197</v>
      </c>
    </row>
    <row r="7" ht="66.0" customHeight="1">
      <c r="A7" s="15" t="s">
        <v>198</v>
      </c>
      <c r="B7" s="16" t="s">
        <v>199</v>
      </c>
      <c r="C7" s="16" t="s">
        <v>200</v>
      </c>
      <c r="D7" s="16" t="s">
        <v>201</v>
      </c>
      <c r="E7" s="19" t="s">
        <v>202</v>
      </c>
    </row>
    <row r="8" ht="66.0" customHeight="1">
      <c r="A8" s="22" t="s">
        <v>203</v>
      </c>
      <c r="B8" s="23" t="s">
        <v>204</v>
      </c>
      <c r="C8" s="23" t="s">
        <v>205</v>
      </c>
      <c r="D8" s="23" t="s">
        <v>206</v>
      </c>
      <c r="E8" s="24" t="s">
        <v>207</v>
      </c>
    </row>
    <row r="9" ht="66.0" customHeight="1">
      <c r="A9" s="22" t="s">
        <v>208</v>
      </c>
      <c r="B9" s="23" t="s">
        <v>209</v>
      </c>
      <c r="C9" s="23" t="s">
        <v>210</v>
      </c>
      <c r="D9" s="23" t="s">
        <v>211</v>
      </c>
      <c r="E9" s="24" t="s">
        <v>212</v>
      </c>
    </row>
    <row r="10" ht="66.0" customHeight="1">
      <c r="A10" s="22" t="s">
        <v>143</v>
      </c>
      <c r="B10" s="23" t="s">
        <v>213</v>
      </c>
      <c r="C10" s="23" t="s">
        <v>214</v>
      </c>
      <c r="D10" s="23" t="s">
        <v>215</v>
      </c>
      <c r="E10" s="24" t="s">
        <v>216</v>
      </c>
    </row>
    <row r="11" ht="66.0" customHeight="1">
      <c r="A11" s="22" t="s">
        <v>145</v>
      </c>
      <c r="B11" s="23" t="s">
        <v>217</v>
      </c>
      <c r="C11" s="23" t="s">
        <v>218</v>
      </c>
      <c r="D11" s="23" t="s">
        <v>219</v>
      </c>
      <c r="E11" s="24" t="s">
        <v>220</v>
      </c>
    </row>
    <row r="12" ht="66.0" customHeight="1">
      <c r="A12" s="22" t="s">
        <v>221</v>
      </c>
      <c r="B12" s="23" t="s">
        <v>222</v>
      </c>
      <c r="C12" s="23" t="s">
        <v>223</v>
      </c>
      <c r="D12" s="23" t="s">
        <v>224</v>
      </c>
      <c r="E12" s="24" t="s">
        <v>225</v>
      </c>
    </row>
    <row r="13" ht="66.0" customHeight="1">
      <c r="A13" s="22" t="s">
        <v>226</v>
      </c>
      <c r="B13" s="23" t="s">
        <v>227</v>
      </c>
      <c r="C13" s="23" t="s">
        <v>228</v>
      </c>
      <c r="D13" s="23" t="s">
        <v>229</v>
      </c>
      <c r="E13" s="24" t="s">
        <v>230</v>
      </c>
    </row>
    <row r="14" ht="66.0" customHeight="1">
      <c r="A14" s="22" t="s">
        <v>231</v>
      </c>
      <c r="B14" s="23" t="s">
        <v>232</v>
      </c>
      <c r="C14" s="23" t="s">
        <v>233</v>
      </c>
      <c r="D14" s="23" t="s">
        <v>234</v>
      </c>
      <c r="E14" s="24" t="s">
        <v>235</v>
      </c>
    </row>
    <row r="15" ht="66.0" customHeight="1">
      <c r="A15" s="22" t="s">
        <v>148</v>
      </c>
      <c r="B15" s="23" t="s">
        <v>236</v>
      </c>
      <c r="C15" s="23" t="s">
        <v>237</v>
      </c>
      <c r="D15" s="23" t="s">
        <v>238</v>
      </c>
      <c r="E15" s="24" t="s">
        <v>239</v>
      </c>
    </row>
    <row r="16" ht="66.0" customHeight="1">
      <c r="A16" s="22" t="s">
        <v>240</v>
      </c>
      <c r="B16" s="23" t="s">
        <v>241</v>
      </c>
      <c r="C16" s="23" t="s">
        <v>242</v>
      </c>
      <c r="D16" s="23" t="s">
        <v>243</v>
      </c>
      <c r="E16" s="24" t="s">
        <v>244</v>
      </c>
    </row>
    <row r="17" ht="66.0" customHeight="1">
      <c r="A17" s="30" t="s">
        <v>245</v>
      </c>
      <c r="B17" s="32" t="s">
        <v>246</v>
      </c>
      <c r="C17" s="32" t="s">
        <v>247</v>
      </c>
      <c r="D17" s="32" t="s">
        <v>248</v>
      </c>
      <c r="E17" s="29" t="s">
        <v>249</v>
      </c>
    </row>
    <row r="19">
      <c r="A19" s="5" t="s">
        <v>250</v>
      </c>
      <c r="B19" s="6"/>
      <c r="C19" s="6"/>
      <c r="D19" s="6"/>
      <c r="E19" s="7"/>
    </row>
    <row r="20">
      <c r="A20" s="8" t="s">
        <v>98</v>
      </c>
      <c r="B20" s="10" t="s">
        <v>99</v>
      </c>
    </row>
    <row r="21" ht="15.75" customHeight="1">
      <c r="A21" s="12" t="s">
        <v>252</v>
      </c>
      <c r="B21" s="13" t="s">
        <v>253</v>
      </c>
    </row>
    <row r="22" ht="15.75" customHeight="1">
      <c r="A22" s="12" t="s">
        <v>254</v>
      </c>
      <c r="B22" s="102" t="s">
        <v>91</v>
      </c>
    </row>
    <row r="23" ht="15.75" customHeight="1">
      <c r="A23" s="12" t="s">
        <v>100</v>
      </c>
      <c r="B23" s="13" t="s">
        <v>102</v>
      </c>
    </row>
    <row r="24" ht="15.75" customHeight="1">
      <c r="A24" s="18" t="s">
        <v>255</v>
      </c>
      <c r="B24" s="21" t="s">
        <v>256</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E1"/>
    <mergeCell ref="A2:E2"/>
    <mergeCell ref="A3:E3"/>
    <mergeCell ref="A5:E5"/>
    <mergeCell ref="A19:E19"/>
  </mergeCells>
  <hyperlinks>
    <hyperlink r:id="rId1" ref="B22"/>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30.0"/>
    <col customWidth="1" min="3" max="3" width="58.0"/>
    <col customWidth="1" min="4" max="4" width="48.0"/>
    <col customWidth="1" min="5" max="5" width="50.0"/>
    <col customWidth="1" min="6" max="26" width="8.63"/>
  </cols>
  <sheetData>
    <row r="1" ht="27.75" customHeight="1">
      <c r="A1" s="1" t="s">
        <v>258</v>
      </c>
    </row>
    <row r="2" ht="24.0" customHeight="1">
      <c r="A2" s="2" t="s">
        <v>259</v>
      </c>
    </row>
    <row r="3" ht="33.75" customHeight="1">
      <c r="A3" s="3" t="s">
        <v>260</v>
      </c>
      <c r="B3" s="4"/>
      <c r="C3" s="4"/>
      <c r="D3" s="4"/>
      <c r="E3" s="4"/>
    </row>
    <row r="4" ht="9.75" customHeight="1"/>
    <row r="5">
      <c r="A5" s="5" t="s">
        <v>261</v>
      </c>
      <c r="B5" s="6"/>
      <c r="C5" s="6"/>
      <c r="D5" s="6"/>
      <c r="E5" s="7"/>
    </row>
    <row r="6" ht="33.75" customHeight="1">
      <c r="A6" s="9" t="s">
        <v>262</v>
      </c>
      <c r="B6" s="11" t="s">
        <v>263</v>
      </c>
      <c r="C6" s="11" t="s">
        <v>194</v>
      </c>
      <c r="D6" s="11" t="s">
        <v>264</v>
      </c>
      <c r="E6" s="14" t="s">
        <v>265</v>
      </c>
    </row>
    <row r="7" ht="61.5" customHeight="1">
      <c r="A7" s="17" t="s">
        <v>266</v>
      </c>
      <c r="B7" s="108" t="s">
        <v>267</v>
      </c>
      <c r="C7" s="16" t="s">
        <v>268</v>
      </c>
      <c r="D7" s="16" t="s">
        <v>269</v>
      </c>
      <c r="E7" s="19" t="s">
        <v>270</v>
      </c>
    </row>
    <row r="8" ht="61.5" customHeight="1">
      <c r="A8" s="37" t="s">
        <v>271</v>
      </c>
      <c r="B8" s="109" t="s">
        <v>272</v>
      </c>
      <c r="C8" s="23" t="s">
        <v>273</v>
      </c>
      <c r="D8" s="23" t="s">
        <v>274</v>
      </c>
      <c r="E8" s="24" t="s">
        <v>275</v>
      </c>
    </row>
    <row r="9" ht="61.5" customHeight="1">
      <c r="A9" s="37" t="s">
        <v>271</v>
      </c>
      <c r="B9" s="109" t="s">
        <v>276</v>
      </c>
      <c r="C9" s="23" t="s">
        <v>277</v>
      </c>
      <c r="D9" s="23" t="s">
        <v>278</v>
      </c>
      <c r="E9" s="24" t="s">
        <v>279</v>
      </c>
    </row>
    <row r="10" ht="61.5" customHeight="1">
      <c r="A10" s="37" t="s">
        <v>271</v>
      </c>
      <c r="B10" s="109" t="s">
        <v>280</v>
      </c>
      <c r="C10" s="23" t="s">
        <v>281</v>
      </c>
      <c r="D10" s="23" t="s">
        <v>282</v>
      </c>
      <c r="E10" s="24" t="s">
        <v>283</v>
      </c>
    </row>
    <row r="11" ht="61.5" customHeight="1">
      <c r="A11" s="37" t="s">
        <v>284</v>
      </c>
      <c r="B11" s="109" t="s">
        <v>285</v>
      </c>
      <c r="C11" s="23" t="s">
        <v>286</v>
      </c>
      <c r="D11" s="23" t="s">
        <v>287</v>
      </c>
      <c r="E11" s="24" t="s">
        <v>288</v>
      </c>
    </row>
    <row r="12" ht="61.5" customHeight="1">
      <c r="A12" s="37" t="s">
        <v>284</v>
      </c>
      <c r="B12" s="109" t="s">
        <v>289</v>
      </c>
      <c r="C12" s="23" t="s">
        <v>290</v>
      </c>
      <c r="D12" s="23" t="s">
        <v>291</v>
      </c>
      <c r="E12" s="24" t="s">
        <v>292</v>
      </c>
    </row>
    <row r="13" ht="61.5" customHeight="1">
      <c r="A13" s="37" t="s">
        <v>284</v>
      </c>
      <c r="B13" s="109" t="s">
        <v>293</v>
      </c>
      <c r="C13" s="23" t="s">
        <v>294</v>
      </c>
      <c r="D13" s="23" t="s">
        <v>295</v>
      </c>
      <c r="E13" s="24" t="s">
        <v>296</v>
      </c>
    </row>
    <row r="14" ht="61.5" customHeight="1">
      <c r="A14" s="37" t="s">
        <v>297</v>
      </c>
      <c r="B14" s="109" t="s">
        <v>298</v>
      </c>
      <c r="C14" s="23" t="s">
        <v>299</v>
      </c>
      <c r="D14" s="23" t="s">
        <v>300</v>
      </c>
      <c r="E14" s="24" t="s">
        <v>301</v>
      </c>
    </row>
    <row r="15" ht="61.5" customHeight="1">
      <c r="A15" s="37" t="s">
        <v>297</v>
      </c>
      <c r="B15" s="109" t="s">
        <v>302</v>
      </c>
      <c r="C15" s="23" t="s">
        <v>303</v>
      </c>
      <c r="D15" s="23" t="s">
        <v>304</v>
      </c>
      <c r="E15" s="24" t="s">
        <v>305</v>
      </c>
    </row>
    <row r="16" ht="61.5" customHeight="1">
      <c r="A16" s="37" t="s">
        <v>297</v>
      </c>
      <c r="B16" s="109" t="s">
        <v>306</v>
      </c>
      <c r="C16" s="23" t="s">
        <v>307</v>
      </c>
      <c r="D16" s="23" t="s">
        <v>308</v>
      </c>
      <c r="E16" s="24" t="s">
        <v>309</v>
      </c>
    </row>
    <row r="17" ht="61.5" customHeight="1">
      <c r="A17" s="37" t="s">
        <v>297</v>
      </c>
      <c r="B17" s="109" t="s">
        <v>310</v>
      </c>
      <c r="C17" s="23" t="s">
        <v>311</v>
      </c>
      <c r="D17" s="23" t="s">
        <v>312</v>
      </c>
      <c r="E17" s="24" t="s">
        <v>313</v>
      </c>
    </row>
    <row r="18" ht="61.5" customHeight="1">
      <c r="A18" s="37" t="s">
        <v>297</v>
      </c>
      <c r="B18" s="109" t="s">
        <v>297</v>
      </c>
      <c r="C18" s="23" t="s">
        <v>314</v>
      </c>
      <c r="D18" s="23" t="s">
        <v>315</v>
      </c>
      <c r="E18" s="24" t="s">
        <v>316</v>
      </c>
    </row>
    <row r="19" ht="61.5" customHeight="1">
      <c r="A19" s="37" t="s">
        <v>317</v>
      </c>
      <c r="B19" s="109" t="s">
        <v>318</v>
      </c>
      <c r="C19" s="23" t="s">
        <v>319</v>
      </c>
      <c r="D19" s="23" t="s">
        <v>320</v>
      </c>
      <c r="E19" s="24" t="s">
        <v>321</v>
      </c>
    </row>
    <row r="20" ht="61.5" customHeight="1">
      <c r="A20" s="37" t="s">
        <v>322</v>
      </c>
      <c r="B20" s="109" t="s">
        <v>323</v>
      </c>
      <c r="C20" s="23" t="s">
        <v>324</v>
      </c>
      <c r="D20" s="23" t="s">
        <v>325</v>
      </c>
      <c r="E20" s="24" t="s">
        <v>326</v>
      </c>
    </row>
    <row r="21" ht="61.5" customHeight="1">
      <c r="A21" s="37" t="s">
        <v>322</v>
      </c>
      <c r="B21" s="109" t="s">
        <v>327</v>
      </c>
      <c r="C21" s="23" t="s">
        <v>328</v>
      </c>
      <c r="D21" s="23" t="s">
        <v>329</v>
      </c>
      <c r="E21" s="24" t="s">
        <v>330</v>
      </c>
    </row>
    <row r="22" ht="61.5" customHeight="1">
      <c r="A22" s="37" t="s">
        <v>322</v>
      </c>
      <c r="B22" s="109" t="s">
        <v>331</v>
      </c>
      <c r="C22" s="23" t="s">
        <v>332</v>
      </c>
      <c r="D22" s="23" t="s">
        <v>333</v>
      </c>
      <c r="E22" s="24" t="s">
        <v>334</v>
      </c>
    </row>
    <row r="23" ht="61.5" customHeight="1">
      <c r="A23" s="37" t="s">
        <v>322</v>
      </c>
      <c r="B23" s="109" t="s">
        <v>335</v>
      </c>
      <c r="C23" s="23" t="s">
        <v>336</v>
      </c>
      <c r="D23" s="23" t="s">
        <v>337</v>
      </c>
      <c r="E23" s="24" t="s">
        <v>338</v>
      </c>
    </row>
    <row r="24" ht="61.5" customHeight="1">
      <c r="A24" s="37" t="s">
        <v>339</v>
      </c>
      <c r="B24" s="109" t="s">
        <v>340</v>
      </c>
      <c r="C24" s="23" t="s">
        <v>341</v>
      </c>
      <c r="D24" s="23" t="s">
        <v>342</v>
      </c>
      <c r="E24" s="24" t="s">
        <v>343</v>
      </c>
    </row>
    <row r="25" ht="61.5" customHeight="1">
      <c r="A25" s="37" t="s">
        <v>344</v>
      </c>
      <c r="B25" s="109" t="s">
        <v>345</v>
      </c>
      <c r="C25" s="23" t="s">
        <v>346</v>
      </c>
      <c r="D25" s="23" t="s">
        <v>347</v>
      </c>
      <c r="E25" s="24" t="s">
        <v>348</v>
      </c>
    </row>
    <row r="26" ht="61.5" customHeight="1">
      <c r="A26" s="37" t="s">
        <v>349</v>
      </c>
      <c r="B26" s="109" t="s">
        <v>22</v>
      </c>
      <c r="C26" s="23" t="s">
        <v>350</v>
      </c>
      <c r="D26" s="23" t="s">
        <v>351</v>
      </c>
      <c r="E26" s="24" t="s">
        <v>352</v>
      </c>
    </row>
    <row r="27" ht="61.5" customHeight="1">
      <c r="A27" s="37" t="s">
        <v>349</v>
      </c>
      <c r="B27" s="109" t="s">
        <v>27</v>
      </c>
      <c r="C27" s="23" t="s">
        <v>353</v>
      </c>
      <c r="D27" s="23" t="s">
        <v>354</v>
      </c>
      <c r="E27" s="24" t="s">
        <v>355</v>
      </c>
    </row>
    <row r="28" ht="61.5" customHeight="1">
      <c r="A28" s="37" t="s">
        <v>349</v>
      </c>
      <c r="B28" s="109" t="s">
        <v>226</v>
      </c>
      <c r="C28" s="23" t="s">
        <v>356</v>
      </c>
      <c r="D28" s="23" t="s">
        <v>357</v>
      </c>
      <c r="E28" s="24" t="s">
        <v>358</v>
      </c>
    </row>
    <row r="29" ht="61.5" customHeight="1">
      <c r="A29" s="49" t="s">
        <v>158</v>
      </c>
      <c r="B29" s="110" t="s">
        <v>158</v>
      </c>
      <c r="C29" s="32" t="s">
        <v>359</v>
      </c>
      <c r="D29" s="32" t="s">
        <v>360</v>
      </c>
      <c r="E29" s="29" t="s">
        <v>361</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E1"/>
    <mergeCell ref="A2:E2"/>
    <mergeCell ref="A3:E3"/>
    <mergeCell ref="A5:E5"/>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2" width="28.0"/>
    <col customWidth="1" min="3" max="3" width="52.0"/>
    <col customWidth="1" min="4" max="4" width="31.0"/>
    <col customWidth="1" min="5" max="5" width="12.0"/>
    <col customWidth="1" min="6" max="6" width="31.0"/>
    <col customWidth="1" min="7" max="7" width="12.0"/>
    <col customWidth="1" min="8" max="8" width="10.0"/>
    <col customWidth="1" min="9" max="9" width="42.0"/>
    <col customWidth="1" min="10" max="10" width="3.0"/>
    <col customWidth="1" min="11" max="11" width="38.0"/>
    <col customWidth="1" min="12" max="12" width="14.0"/>
    <col customWidth="1" min="13" max="13" width="15.0"/>
    <col customWidth="1" min="14" max="14" width="14.0"/>
    <col customWidth="1" min="15" max="15" width="15.0"/>
    <col customWidth="1" min="16" max="16" width="10.0"/>
    <col customWidth="1" min="17" max="17" width="12.0"/>
    <col customWidth="1" min="18" max="18" width="58.0"/>
    <col customWidth="1" min="19" max="23" width="8.63"/>
    <col customWidth="1" min="24" max="26" width="2.0"/>
  </cols>
  <sheetData>
    <row r="1" ht="27.75" customHeight="1">
      <c r="A1" s="1" t="s">
        <v>362</v>
      </c>
    </row>
    <row r="2" ht="24.0" customHeight="1">
      <c r="A2" s="2" t="s">
        <v>363</v>
      </c>
    </row>
    <row r="3" ht="33.75" customHeight="1">
      <c r="A3" s="3" t="s">
        <v>364</v>
      </c>
      <c r="B3" s="4"/>
      <c r="C3" s="4"/>
      <c r="D3" s="4"/>
      <c r="E3" s="4"/>
      <c r="F3" s="4"/>
      <c r="G3" s="4"/>
      <c r="H3" s="4"/>
      <c r="I3" s="4"/>
      <c r="J3" s="4"/>
      <c r="K3" s="4"/>
      <c r="L3" s="4"/>
      <c r="M3" s="4"/>
      <c r="N3" s="4"/>
      <c r="O3" s="4"/>
      <c r="P3" s="4"/>
      <c r="Q3" s="4"/>
      <c r="R3" s="4"/>
    </row>
    <row r="4" ht="9.75" customHeight="1"/>
    <row r="5">
      <c r="A5" s="5" t="s">
        <v>365</v>
      </c>
      <c r="B5" s="6"/>
      <c r="C5" s="6"/>
      <c r="D5" s="6"/>
      <c r="E5" s="6"/>
      <c r="F5" s="6"/>
      <c r="G5" s="6"/>
      <c r="H5" s="6"/>
      <c r="I5" s="7"/>
      <c r="K5" s="5" t="s">
        <v>366</v>
      </c>
      <c r="L5" s="6"/>
      <c r="M5" s="6"/>
      <c r="N5" s="6"/>
      <c r="O5" s="6"/>
      <c r="P5" s="6"/>
      <c r="Q5" s="6"/>
      <c r="R5" s="7"/>
      <c r="X5" s="50" t="s">
        <v>14</v>
      </c>
      <c r="Y5" s="50" t="s">
        <v>141</v>
      </c>
      <c r="Z5" s="50" t="s">
        <v>142</v>
      </c>
    </row>
    <row r="6" ht="31.5" customHeight="1">
      <c r="A6" s="9" t="s">
        <v>16</v>
      </c>
      <c r="B6" s="11" t="s">
        <v>14</v>
      </c>
      <c r="C6" s="11" t="s">
        <v>20</v>
      </c>
      <c r="D6" s="11" t="s">
        <v>22</v>
      </c>
      <c r="E6" s="11" t="s">
        <v>26</v>
      </c>
      <c r="F6" s="11" t="s">
        <v>27</v>
      </c>
      <c r="G6" s="11" t="s">
        <v>29</v>
      </c>
      <c r="H6" s="11" t="s">
        <v>31</v>
      </c>
      <c r="I6" s="14" t="s">
        <v>33</v>
      </c>
      <c r="K6" s="9" t="s">
        <v>14</v>
      </c>
      <c r="L6" s="11" t="s">
        <v>143</v>
      </c>
      <c r="M6" s="11" t="s">
        <v>144</v>
      </c>
      <c r="N6" s="11" t="s">
        <v>145</v>
      </c>
      <c r="O6" s="11" t="s">
        <v>146</v>
      </c>
      <c r="P6" s="11" t="s">
        <v>31</v>
      </c>
      <c r="Q6" s="11" t="s">
        <v>147</v>
      </c>
      <c r="R6" s="14" t="s">
        <v>148</v>
      </c>
      <c r="X6" s="50" t="s">
        <v>38</v>
      </c>
      <c r="Y6" s="55">
        <f t="shared" ref="Y6:Y11" si="1">L7</f>
        <v>1.5</v>
      </c>
      <c r="Z6" s="55">
        <f t="shared" ref="Z6:Z11" si="2">N7</f>
        <v>3</v>
      </c>
    </row>
    <row r="7" ht="54.0" customHeight="1">
      <c r="A7" s="17">
        <v>1.0</v>
      </c>
      <c r="B7" s="16" t="s">
        <v>38</v>
      </c>
      <c r="C7" s="19" t="s">
        <v>47</v>
      </c>
      <c r="D7" s="20" t="s">
        <v>107</v>
      </c>
      <c r="E7" s="27">
        <f t="shared" ref="E7:E18" si="3">IF(D7="","",VALUE(LEFT(D7,1)))</f>
        <v>1</v>
      </c>
      <c r="F7" s="20" t="s">
        <v>111</v>
      </c>
      <c r="G7" s="31">
        <f t="shared" ref="G7:G18" si="4">IF(F7="","",VALUE(LEFT(F7,1)))</f>
        <v>3</v>
      </c>
      <c r="H7" s="34">
        <f t="shared" ref="H7:H18" si="5">IF(OR(E7="",G7=""),"",G7-E7)</f>
        <v>2</v>
      </c>
      <c r="I7" s="35" t="s">
        <v>367</v>
      </c>
      <c r="K7" s="56" t="s">
        <v>38</v>
      </c>
      <c r="L7" s="57">
        <f>IF(COUNTA(D7:D8)=2,AVERAGE(E7:E8),"")</f>
        <v>1.5</v>
      </c>
      <c r="M7" s="58" t="str">
        <f t="shared" ref="M7:M12" si="6">IF(L7="","",IF(L7&lt;0.8,"Reactive",IF(L7&lt;1.6,"Emerging",IF(L7&lt;2.4,"Established",IF(L7&lt;3.2,"Advanced","Intelligent")))))</f>
        <v>Emerging</v>
      </c>
      <c r="N7" s="59">
        <f>IF(COUNTA(F7:F8)=2,AVERAGE(G7:G8),"")</f>
        <v>3</v>
      </c>
      <c r="O7" s="58" t="str">
        <f t="shared" ref="O7:O12" si="7">IF(N7="","",IF(N7&lt;0.8,"Reactive",IF(N7&lt;1.6,"Emerging",IF(N7&lt;2.4,"Established",IF(N7&lt;3.2,"Advanced","Intelligent")))))</f>
        <v>Advanced</v>
      </c>
      <c r="P7" s="59">
        <f t="shared" ref="P7:P12" si="8">IF(OR(L7="",N7=""),"",N7-L7)</f>
        <v>1.5</v>
      </c>
      <c r="Q7" s="62">
        <f>IF(COUNTIF(D7:D18,"&lt;&gt;")&lt;&gt;12,"",1+COUNTIF($L$7:$L$12,"&lt;"&amp;L7)+COUNTIF($L$7:L7,L7)-1)</f>
        <v>3</v>
      </c>
      <c r="R7" s="36" t="str">
        <f>IF(M7="","",IF(M7="Reactive","Assign source ownership and define a minimum price-source register covering list, cost, floor and currency.",IF(M7="Emerging","Document and standardise source hierarchy, versioning and effective-date rules.",IF(M7="Established","Enforce source and version validation in the quote process and capture source exceptions.",IF(M7="Advanced","Measure stale, missing and conflicting source incidents and establish a review feedback loop.","Monitor source drift and continuously refine ownership, freshness thresholds and source controls.")))))</f>
        <v>Document and standardise source hierarchy, versioning and effective-date rules.</v>
      </c>
      <c r="X7" s="50" t="s">
        <v>48</v>
      </c>
      <c r="Y7" s="55">
        <f t="shared" si="1"/>
        <v>1</v>
      </c>
      <c r="Z7" s="55">
        <f t="shared" si="2"/>
        <v>3</v>
      </c>
    </row>
    <row r="8" ht="54.0" customHeight="1">
      <c r="A8" s="37">
        <v>2.0</v>
      </c>
      <c r="B8" s="23" t="s">
        <v>38</v>
      </c>
      <c r="C8" s="24" t="s">
        <v>93</v>
      </c>
      <c r="D8" s="39" t="s">
        <v>109</v>
      </c>
      <c r="E8" s="41">
        <f t="shared" si="3"/>
        <v>2</v>
      </c>
      <c r="F8" s="39" t="s">
        <v>111</v>
      </c>
      <c r="G8" s="42">
        <f t="shared" si="4"/>
        <v>3</v>
      </c>
      <c r="H8" s="44">
        <f t="shared" si="5"/>
        <v>1</v>
      </c>
      <c r="I8" s="45" t="s">
        <v>368</v>
      </c>
      <c r="K8" s="73" t="s">
        <v>48</v>
      </c>
      <c r="L8" s="79">
        <f>IF(COUNTA(D9:D10)=2,AVERAGE(E9:E10),"")</f>
        <v>1</v>
      </c>
      <c r="M8" s="80" t="str">
        <f t="shared" si="6"/>
        <v>Emerging</v>
      </c>
      <c r="N8" s="82">
        <f>IF(COUNTA(F9:F10)=2,AVERAGE(G9:G10),"")</f>
        <v>3</v>
      </c>
      <c r="O8" s="80" t="str">
        <f t="shared" si="7"/>
        <v>Advanced</v>
      </c>
      <c r="P8" s="82">
        <f t="shared" si="8"/>
        <v>2</v>
      </c>
      <c r="Q8" s="90">
        <f>IF(COUNTIF(D7:D18,"&lt;&gt;")&lt;&gt;12,"",1+COUNTIF($L$7:$L$12,"&lt;"&amp;L8)+COUNTIF($L$7:L8,L8)-1)</f>
        <v>2</v>
      </c>
      <c r="R8" s="46" t="str">
        <f>IF(M8="","",IF(M8="Reactive","Define ownership and a repeatable minimum control for recording active customer-specific and contracted prices.",IF(M8="Emerging","Document and standardise agreement applicability, effective dates and deviation calculation rules.",IF(M8="Established","Enforce agreement selection and deviation visibility systematically and capture exceptions.",IF(M8="Advanced","Measure agreement misses and deviations and establish a pricing review feedback loop.","Monitor agreement drift and continuously refine applicability, renewal and deviation controls.")))))</f>
        <v>Document and standardise agreement applicability, effective dates and deviation calculation rules.</v>
      </c>
      <c r="X8" s="50" t="s">
        <v>57</v>
      </c>
      <c r="Y8" s="55">
        <f t="shared" si="1"/>
        <v>2.5</v>
      </c>
      <c r="Z8" s="55">
        <f t="shared" si="2"/>
        <v>3.5</v>
      </c>
    </row>
    <row r="9" ht="54.0" customHeight="1">
      <c r="A9" s="37">
        <v>3.0</v>
      </c>
      <c r="B9" s="23" t="s">
        <v>48</v>
      </c>
      <c r="C9" s="24" t="s">
        <v>105</v>
      </c>
      <c r="D9" s="39" t="s">
        <v>107</v>
      </c>
      <c r="E9" s="41">
        <f t="shared" si="3"/>
        <v>1</v>
      </c>
      <c r="F9" s="39" t="s">
        <v>111</v>
      </c>
      <c r="G9" s="42">
        <f t="shared" si="4"/>
        <v>3</v>
      </c>
      <c r="H9" s="44">
        <f t="shared" si="5"/>
        <v>2</v>
      </c>
      <c r="I9" s="45" t="s">
        <v>369</v>
      </c>
      <c r="K9" s="73" t="s">
        <v>57</v>
      </c>
      <c r="L9" s="79">
        <f>IF(COUNTA(D11:D12)=2,AVERAGE(E11:E12),"")</f>
        <v>2.5</v>
      </c>
      <c r="M9" s="80" t="str">
        <f t="shared" si="6"/>
        <v>Advanced</v>
      </c>
      <c r="N9" s="82">
        <f>IF(COUNTA(F11:F12)=2,AVERAGE(G11:G12),"")</f>
        <v>3.5</v>
      </c>
      <c r="O9" s="80" t="str">
        <f t="shared" si="7"/>
        <v>Intelligent</v>
      </c>
      <c r="P9" s="82">
        <f t="shared" si="8"/>
        <v>1</v>
      </c>
      <c r="Q9" s="90">
        <f>IF(COUNTIF(D7:D18,"&lt;&gt;")&lt;&gt;12,"",1+COUNTIF($L$7:$L$12,"&lt;"&amp;L9)+COUNTIF($L$7:L9,L9)-1)</f>
        <v>6</v>
      </c>
      <c r="R9" s="46" t="str">
        <f>IF(M9="","",IF(M9="Reactive","Define ownership and a repeatable minimum calculation specification for discounts, margin, rebates and incentives.",IF(M9="Emerging","Document and standardise commercial calculation logic across sales, pricing and finance.",IF(M9="Established","Enforce shared calculation logic systematically and capture calculation exceptions.",IF(M9="Advanced","Measure calculation variance and deal-economics outcomes and establish a feedback loop.","Monitor calculation drift and continuously refine measures, assumptions and control thresholds.")))))</f>
        <v>Measure calculation variance and deal-economics outcomes and establish a feedback loop.</v>
      </c>
      <c r="X9" s="50" t="s">
        <v>65</v>
      </c>
      <c r="Y9" s="55">
        <f t="shared" si="1"/>
        <v>2</v>
      </c>
      <c r="Z9" s="55">
        <f t="shared" si="2"/>
        <v>3</v>
      </c>
    </row>
    <row r="10" ht="54.0" customHeight="1">
      <c r="A10" s="37">
        <v>4.0</v>
      </c>
      <c r="B10" s="23" t="s">
        <v>48</v>
      </c>
      <c r="C10" s="24" t="s">
        <v>115</v>
      </c>
      <c r="D10" s="39" t="s">
        <v>107</v>
      </c>
      <c r="E10" s="41">
        <f t="shared" si="3"/>
        <v>1</v>
      </c>
      <c r="F10" s="39" t="s">
        <v>111</v>
      </c>
      <c r="G10" s="42">
        <f t="shared" si="4"/>
        <v>3</v>
      </c>
      <c r="H10" s="44">
        <f t="shared" si="5"/>
        <v>2</v>
      </c>
      <c r="I10" s="45" t="s">
        <v>370</v>
      </c>
      <c r="K10" s="73" t="s">
        <v>65</v>
      </c>
      <c r="L10" s="79">
        <f>IF(COUNTA(D13:D14)=2,AVERAGE(E13:E14),"")</f>
        <v>2</v>
      </c>
      <c r="M10" s="80" t="str">
        <f t="shared" si="6"/>
        <v>Established</v>
      </c>
      <c r="N10" s="82">
        <f>IF(COUNTA(F13:F14)=2,AVERAGE(G13:G14),"")</f>
        <v>3</v>
      </c>
      <c r="O10" s="80" t="str">
        <f t="shared" si="7"/>
        <v>Advanced</v>
      </c>
      <c r="P10" s="82">
        <f t="shared" si="8"/>
        <v>1</v>
      </c>
      <c r="Q10" s="90">
        <f>IF(COUNTIF(D7:D18,"&lt;&gt;")&lt;&gt;12,"",1+COUNTIF($L$7:$L$12,"&lt;"&amp;L10)+COUNTIF($L$7:L10,L10)-1)</f>
        <v>5</v>
      </c>
      <c r="R10" s="46" t="str">
        <f>IF(M10="","",IF(M10="Reactive","Define ownership and a repeatable minimum control for applying the correct price and recording overrides.",IF(M10="Emerging","Document and standardise price-application and manual-override rules.",IF(M10="Established","Enforce price application and override capture systematically in the quote process.",IF(M10="Advanced","Measure override frequency and price-application exceptions and establish a review feedback loop.","Monitor execution drift and continuously refine override thresholds and price-application controls.")))))</f>
        <v>Enforce price application and override capture systematically in the quote process.</v>
      </c>
      <c r="X10" s="50" t="s">
        <v>74</v>
      </c>
      <c r="Y10" s="55">
        <f t="shared" si="1"/>
        <v>1.5</v>
      </c>
      <c r="Z10" s="55">
        <f t="shared" si="2"/>
        <v>3</v>
      </c>
    </row>
    <row r="11" ht="54.0" customHeight="1">
      <c r="A11" s="37">
        <v>5.0</v>
      </c>
      <c r="B11" s="23" t="s">
        <v>57</v>
      </c>
      <c r="C11" s="24" t="s">
        <v>117</v>
      </c>
      <c r="D11" s="39" t="s">
        <v>109</v>
      </c>
      <c r="E11" s="41">
        <f t="shared" si="3"/>
        <v>2</v>
      </c>
      <c r="F11" s="39" t="s">
        <v>111</v>
      </c>
      <c r="G11" s="42">
        <f t="shared" si="4"/>
        <v>3</v>
      </c>
      <c r="H11" s="44">
        <f t="shared" si="5"/>
        <v>1</v>
      </c>
      <c r="I11" s="45" t="s">
        <v>371</v>
      </c>
      <c r="K11" s="73" t="s">
        <v>74</v>
      </c>
      <c r="L11" s="79">
        <f>IF(COUNTA(D15:D16)=2,AVERAGE(E15:E16),"")</f>
        <v>1.5</v>
      </c>
      <c r="M11" s="80" t="str">
        <f t="shared" si="6"/>
        <v>Emerging</v>
      </c>
      <c r="N11" s="82">
        <f>IF(COUNTA(F15:F16)=2,AVERAGE(G15:G16),"")</f>
        <v>3</v>
      </c>
      <c r="O11" s="80" t="str">
        <f t="shared" si="7"/>
        <v>Advanced</v>
      </c>
      <c r="P11" s="82">
        <f t="shared" si="8"/>
        <v>1.5</v>
      </c>
      <c r="Q11" s="90">
        <f>IF(COUNTIF(D7:D18,"&lt;&gt;")&lt;&gt;12,"",1+COUNTIF($L$7:$L$12,"&lt;"&amp;L11)+COUNTIF($L$7:L11,L11)-1)</f>
        <v>4</v>
      </c>
      <c r="R11" s="46" t="str">
        <f>IF(M11="","",IF(M11="Reactive","Define ownership, approval triggers and a repeatable minimum approval-authority control.",IF(M11="Emerging","Document and standardise approval conditions, authority and routing.",IF(M11="Established","Enforce approval logic systematically and capture approval and reapproval exceptions.",IF(M11="Advanced","Measure approval outcomes, delays and exception patterns and establish a feedback loop.","Monitor governance drift and continuously refine triggers, authority and routing controls.")))))</f>
        <v>Document and standardise approval conditions, authority and routing.</v>
      </c>
      <c r="X11" s="50" t="s">
        <v>83</v>
      </c>
      <c r="Y11" s="55">
        <f t="shared" si="1"/>
        <v>0.5</v>
      </c>
      <c r="Z11" s="55">
        <f t="shared" si="2"/>
        <v>3</v>
      </c>
    </row>
    <row r="12" ht="54.0" customHeight="1">
      <c r="A12" s="37">
        <v>6.0</v>
      </c>
      <c r="B12" s="23" t="s">
        <v>57</v>
      </c>
      <c r="C12" s="24" t="s">
        <v>118</v>
      </c>
      <c r="D12" s="39" t="s">
        <v>111</v>
      </c>
      <c r="E12" s="41">
        <f t="shared" si="3"/>
        <v>3</v>
      </c>
      <c r="F12" s="39" t="s">
        <v>113</v>
      </c>
      <c r="G12" s="42">
        <f t="shared" si="4"/>
        <v>4</v>
      </c>
      <c r="H12" s="44">
        <f t="shared" si="5"/>
        <v>1</v>
      </c>
      <c r="I12" s="45" t="s">
        <v>372</v>
      </c>
      <c r="K12" s="103" t="s">
        <v>83</v>
      </c>
      <c r="L12" s="104">
        <f>IF(COUNTA(D17:D18)=2,AVERAGE(E17:E18),"")</f>
        <v>0.5</v>
      </c>
      <c r="M12" s="105" t="str">
        <f t="shared" si="6"/>
        <v>Reactive</v>
      </c>
      <c r="N12" s="106">
        <f>IF(COUNTA(F17:F18)=2,AVERAGE(G17:G18),"")</f>
        <v>3</v>
      </c>
      <c r="O12" s="105" t="str">
        <f t="shared" si="7"/>
        <v>Advanced</v>
      </c>
      <c r="P12" s="106">
        <f t="shared" si="8"/>
        <v>2.5</v>
      </c>
      <c r="Q12" s="107">
        <f>IF(COUNTIF(D7:D18,"&lt;&gt;")&lt;&gt;12,"",1+COUNTIF($L$7:$L$12,"&lt;"&amp;L12)+COUNTIF($L$7:L12,L12)-1)</f>
        <v>1</v>
      </c>
      <c r="R12" s="48" t="str">
        <f>IF(M12="","",IF(M12="Reactive","Define ownership and a repeatable minimum decision trace for source values, calculations, rules and approvals.",IF(M12="Emerging","Document and standardise traceability requirements and recurring exception reporting.",IF(M12="Established","Enforce decision-trace capture systematically and retain reconstructable exception evidence.",IF(M12="Advanced","Measure recurring exceptions, leakage and control gaps and establish a management feedback loop.","Monitor traceability and leakage drift and continuously refine evidence, reporting and review controls.")))))</f>
        <v>Define ownership and a repeatable minimum decision trace for source values, calculations, rules and approvals.</v>
      </c>
    </row>
    <row r="13" ht="48.0" customHeight="1">
      <c r="A13" s="37">
        <v>7.0</v>
      </c>
      <c r="B13" s="23" t="s">
        <v>65</v>
      </c>
      <c r="C13" s="24" t="s">
        <v>120</v>
      </c>
      <c r="D13" s="39" t="s">
        <v>109</v>
      </c>
      <c r="E13" s="41">
        <f t="shared" si="3"/>
        <v>2</v>
      </c>
      <c r="F13" s="39" t="s">
        <v>111</v>
      </c>
      <c r="G13" s="42">
        <f t="shared" si="4"/>
        <v>3</v>
      </c>
      <c r="H13" s="44">
        <f t="shared" si="5"/>
        <v>1</v>
      </c>
      <c r="I13" s="45" t="s">
        <v>373</v>
      </c>
    </row>
    <row r="14" ht="48.0" customHeight="1">
      <c r="A14" s="37">
        <v>8.0</v>
      </c>
      <c r="B14" s="23" t="s">
        <v>65</v>
      </c>
      <c r="C14" s="24" t="s">
        <v>123</v>
      </c>
      <c r="D14" s="39" t="s">
        <v>109</v>
      </c>
      <c r="E14" s="41">
        <f t="shared" si="3"/>
        <v>2</v>
      </c>
      <c r="F14" s="39" t="s">
        <v>111</v>
      </c>
      <c r="G14" s="42">
        <f t="shared" si="4"/>
        <v>3</v>
      </c>
      <c r="H14" s="44">
        <f t="shared" si="5"/>
        <v>1</v>
      </c>
      <c r="I14" s="45" t="s">
        <v>374</v>
      </c>
      <c r="K14" s="5" t="s">
        <v>375</v>
      </c>
      <c r="L14" s="6"/>
      <c r="M14" s="6"/>
      <c r="N14" s="7"/>
    </row>
    <row r="15" ht="48.0" customHeight="1">
      <c r="A15" s="37">
        <v>9.0</v>
      </c>
      <c r="B15" s="23" t="s">
        <v>74</v>
      </c>
      <c r="C15" s="24" t="s">
        <v>128</v>
      </c>
      <c r="D15" s="39" t="s">
        <v>107</v>
      </c>
      <c r="E15" s="41">
        <f t="shared" si="3"/>
        <v>1</v>
      </c>
      <c r="F15" s="39" t="s">
        <v>111</v>
      </c>
      <c r="G15" s="42">
        <f t="shared" si="4"/>
        <v>3</v>
      </c>
      <c r="H15" s="44">
        <f t="shared" si="5"/>
        <v>2</v>
      </c>
      <c r="I15" s="45" t="s">
        <v>376</v>
      </c>
      <c r="K15" s="9" t="s">
        <v>149</v>
      </c>
      <c r="L15" s="14" t="s">
        <v>14</v>
      </c>
    </row>
    <row r="16" ht="48.0" customHeight="1">
      <c r="A16" s="37">
        <v>10.0</v>
      </c>
      <c r="B16" s="23" t="s">
        <v>74</v>
      </c>
      <c r="C16" s="24" t="s">
        <v>132</v>
      </c>
      <c r="D16" s="39" t="s">
        <v>109</v>
      </c>
      <c r="E16" s="41">
        <f t="shared" si="3"/>
        <v>2</v>
      </c>
      <c r="F16" s="39" t="s">
        <v>111</v>
      </c>
      <c r="G16" s="42">
        <f t="shared" si="4"/>
        <v>3</v>
      </c>
      <c r="H16" s="44">
        <f t="shared" si="5"/>
        <v>1</v>
      </c>
      <c r="I16" s="45" t="s">
        <v>377</v>
      </c>
      <c r="K16" s="68">
        <v>1.0</v>
      </c>
      <c r="L16" s="36" t="str">
        <f t="array" ref="L16">INDEX($K$7:$K$12,MATCH(1,$Q$7:$Q$12,0))</f>
        <v>Traceability and performance visibility</v>
      </c>
    </row>
    <row r="17" ht="48.0" customHeight="1">
      <c r="A17" s="37">
        <v>11.0</v>
      </c>
      <c r="B17" s="23" t="s">
        <v>83</v>
      </c>
      <c r="C17" s="24" t="s">
        <v>135</v>
      </c>
      <c r="D17" s="39" t="s">
        <v>104</v>
      </c>
      <c r="E17" s="41">
        <f t="shared" si="3"/>
        <v>0</v>
      </c>
      <c r="F17" s="39" t="s">
        <v>111</v>
      </c>
      <c r="G17" s="42">
        <f t="shared" si="4"/>
        <v>3</v>
      </c>
      <c r="H17" s="44">
        <f t="shared" si="5"/>
        <v>3</v>
      </c>
      <c r="I17" s="45" t="s">
        <v>378</v>
      </c>
      <c r="K17" s="91">
        <v>2.0</v>
      </c>
      <c r="L17" s="48" t="str">
        <f t="array" ref="L17">INDEX($K$7:$K$12,MATCH(2,$Q$7:$Q$12,0))</f>
        <v>Customer-specific and contracted pricing</v>
      </c>
    </row>
    <row r="18" ht="48.0" customHeight="1">
      <c r="A18" s="49">
        <v>12.0</v>
      </c>
      <c r="B18" s="32" t="s">
        <v>83</v>
      </c>
      <c r="C18" s="29" t="s">
        <v>140</v>
      </c>
      <c r="D18" s="51" t="s">
        <v>107</v>
      </c>
      <c r="E18" s="52">
        <f t="shared" si="3"/>
        <v>1</v>
      </c>
      <c r="F18" s="51" t="s">
        <v>111</v>
      </c>
      <c r="G18" s="53">
        <f t="shared" si="4"/>
        <v>3</v>
      </c>
      <c r="H18" s="54">
        <f t="shared" si="5"/>
        <v>2</v>
      </c>
      <c r="I18" s="47" t="s">
        <v>379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c r="K36" s="5" t="s">
        <v>380</v>
      </c>
      <c r="L36" s="6"/>
      <c r="M36" s="6"/>
      <c r="N36" s="6"/>
      <c r="O36" s="6"/>
      <c r="P36" s="6"/>
      <c r="Q36" s="6"/>
      <c r="R36" s="7"/>
    </row>
    <row r="37" ht="15.75" customHeight="1">
      <c r="K37" s="9" t="s">
        <v>149</v>
      </c>
      <c r="L37" s="11" t="s">
        <v>14</v>
      </c>
      <c r="M37" s="11" t="s">
        <v>381</v>
      </c>
      <c r="N37" s="11" t="s">
        <v>155</v>
      </c>
      <c r="O37" s="11" t="s">
        <v>156</v>
      </c>
      <c r="P37" s="11" t="s">
        <v>157</v>
      </c>
      <c r="Q37" s="11" t="s">
        <v>158</v>
      </c>
      <c r="R37" s="14" t="s">
        <v>159</v>
      </c>
    </row>
    <row r="38" ht="67.5" customHeight="1">
      <c r="K38" s="101">
        <v>1.0</v>
      </c>
      <c r="L38" s="111" t="str">
        <f t="shared" ref="L38:L39" si="9">L16</f>
        <v>Traceability and performance visibility</v>
      </c>
      <c r="M38" s="111" t="s">
        <v>382</v>
      </c>
      <c r="N38" s="111" t="s">
        <v>383</v>
      </c>
      <c r="O38" s="111" t="s">
        <v>384</v>
      </c>
      <c r="P38" s="111" t="s">
        <v>385</v>
      </c>
      <c r="Q38" s="111" t="s">
        <v>386</v>
      </c>
      <c r="R38" s="10" t="s">
        <v>387</v>
      </c>
    </row>
    <row r="39" ht="67.5" customHeight="1">
      <c r="K39" s="112">
        <v>2.0</v>
      </c>
      <c r="L39" s="113" t="str">
        <f t="shared" si="9"/>
        <v>Customer-specific and contracted pricing</v>
      </c>
      <c r="M39" s="113" t="s">
        <v>388</v>
      </c>
      <c r="N39" s="113" t="s">
        <v>389</v>
      </c>
      <c r="O39" s="113" t="s">
        <v>390</v>
      </c>
      <c r="P39" s="113" t="s">
        <v>391</v>
      </c>
      <c r="Q39" s="113" t="s">
        <v>392</v>
      </c>
      <c r="R39" s="21" t="s">
        <v>393</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R1"/>
    <mergeCell ref="A2:R2"/>
    <mergeCell ref="A3:R3"/>
    <mergeCell ref="A5:I5"/>
    <mergeCell ref="K5:R5"/>
    <mergeCell ref="K14:N14"/>
    <mergeCell ref="K36:R36"/>
  </mergeCells>
  <printOptions/>
  <pageMargins bottom="0.75" footer="0.0" header="0.0" left="0.7" right="0.7" top="0.75"/>
  <pageSetup orientation="landscape"/>
  <drawing r:id="rId1"/>
</worksheet>
</file>